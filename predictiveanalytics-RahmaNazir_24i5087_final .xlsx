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📊 Executive Dashboard" sheetId="1" r:id="rId1"/>
    <sheet name="📈 Charts &amp; Analysis" sheetId="2" r:id="rId2"/>
    <sheet name="🎯 Theme Analysis" sheetId="3" r:id="rId3"/>
    <sheet name="🧮 Price Calculator" sheetId="4" r:id="rId4"/>
    <sheet name="📋 Data &amp; Predictions" sheetId="5" r:id="rId5"/>
    <sheet name="📐 Model Performa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<sst xmlns="http://schemas.openxmlformats.org/spreadsheetml/2006/main" count="523" uniqueCount="332">
  <si>
    <t xml:space="preserve">LEGO SET VALUE POTENTIAL — PREDICTIVE ANALYTICS </t>
  </si>
  <si>
    <t>By Rahma Nazir  24i-5087</t>
  </si>
  <si>
    <t>Secondary Market Dataset  ·  2,322 LEGO Sets (1981–2014)  ·  OLS Regression  ·  R²=0.85  ·  MAE=$7.93  ·  Source: brickpicker.com</t>
  </si>
  <si>
    <t>SETS ANALYSED</t>
  </si>
  <si>
    <t>MODEL R²</t>
  </si>
  <si>
    <t>MEAN ABS ERROR</t>
  </si>
  <si>
    <t>MEDIAN ROI (NEW)</t>
  </si>
  <si>
    <t>CROSS-VAL R²</t>
  </si>
  <si>
    <t>1981–2014 releases</t>
  </si>
  <si>
    <t>85% variance explained</t>
  </si>
  <si>
    <t>Avg prediction accuracy</t>
  </si>
  <si>
    <t>Vs original retail price</t>
  </si>
  <si>
    <t>5-Fold CV mean score</t>
  </si>
  <si>
    <t xml:space="preserve">  📈  SECONDARY MARKET ROI — TOP 10 THEMES (NEW SETS)</t>
  </si>
  <si>
    <t xml:space="preserve">  🔍  PRICE DRIVERS — CORRELATION</t>
  </si>
  <si>
    <t xml:space="preserve">  ✅  MODEL PERFORMANCE — CROSS VALIDATION (5-FOLD)</t>
  </si>
  <si>
    <t>Theme</t>
  </si>
  <si>
    <t>Retail ($)</t>
  </si>
  <si>
    <t>Sec.Mkt ($)</t>
  </si>
  <si>
    <t>ROI (%)</t>
  </si>
  <si>
    <t>Rank</t>
  </si>
  <si>
    <t>Variable</t>
  </si>
  <si>
    <t>Corr. (r)</t>
  </si>
  <si>
    <t>Strength</t>
  </si>
  <si>
    <t>Direction</t>
  </si>
  <si>
    <t>Fold</t>
  </si>
  <si>
    <t>R² Score</t>
  </si>
  <si>
    <t>Rating</t>
  </si>
  <si>
    <t>Status</t>
  </si>
  <si>
    <t>Notes</t>
  </si>
  <si>
    <t>Super Heroes</t>
  </si>
  <si>
    <t># of Pieces</t>
  </si>
  <si>
    <t>Very Strong</t>
  </si>
  <si>
    <t>↑ Positive</t>
  </si>
  <si>
    <t>Fold 1</t>
  </si>
  <si>
    <t>Best performing fold</t>
  </si>
  <si>
    <t>Castle</t>
  </si>
  <si>
    <t>Size Group</t>
  </si>
  <si>
    <t>Fold 2</t>
  </si>
  <si>
    <t>Heterogeneous subset</t>
  </si>
  <si>
    <t>Advanced Models</t>
  </si>
  <si>
    <t>Minifigures</t>
  </si>
  <si>
    <t>Moderate</t>
  </si>
  <si>
    <t>Fold 3</t>
  </si>
  <si>
    <t>Consistent performance</t>
  </si>
  <si>
    <t>Harry Potter</t>
  </si>
  <si>
    <t>Year Release</t>
  </si>
  <si>
    <t>Very Weak</t>
  </si>
  <si>
    <t>Fold 4</t>
  </si>
  <si>
    <t>Pirates</t>
  </si>
  <si>
    <t>Fold 5</t>
  </si>
  <si>
    <t>Batman</t>
  </si>
  <si>
    <t xml:space="preserve">  📐  REGRESSION COEFFICIENTS</t>
  </si>
  <si>
    <t>MEAN</t>
  </si>
  <si>
    <t>Overall model quality</t>
  </si>
  <si>
    <t>Bionicle</t>
  </si>
  <si>
    <t>Parameter</t>
  </si>
  <si>
    <t>Coefficient</t>
  </si>
  <si>
    <t>Unit</t>
  </si>
  <si>
    <t>Interpretation</t>
  </si>
  <si>
    <t xml:space="preserve">  📦  RETAIL PRICE BY SET SIZE</t>
  </si>
  <si>
    <t>Monster Fighters</t>
  </si>
  <si>
    <t>β0 – Intercept</t>
  </si>
  <si>
    <t>USD</t>
  </si>
  <si>
    <t>Base price before features</t>
  </si>
  <si>
    <t>Desc.</t>
  </si>
  <si>
    <t>Sets (n)</t>
  </si>
  <si>
    <t>Avg Price</t>
  </si>
  <si>
    <t>% of Total</t>
  </si>
  <si>
    <t>Star Wars</t>
  </si>
  <si>
    <t>β1 – Pieces</t>
  </si>
  <si>
    <t>$/piece</t>
  </si>
  <si>
    <t>+$0.07 per additional piece</t>
  </si>
  <si>
    <t>Group 1</t>
  </si>
  <si>
    <t>Largest (800+pcs)</t>
  </si>
  <si>
    <t>City</t>
  </si>
  <si>
    <t>β2 – Minifigs</t>
  </si>
  <si>
    <t>$/fig</t>
  </si>
  <si>
    <t>+$1.67 per minifigure</t>
  </si>
  <si>
    <t>Group 2</t>
  </si>
  <si>
    <t>Large (300-800pcs)</t>
  </si>
  <si>
    <t>β3 – Size Group</t>
  </si>
  <si>
    <t>$/group</t>
  </si>
  <si>
    <t>Larger set = higher price</t>
  </si>
  <si>
    <t>Group 3</t>
  </si>
  <si>
    <t>Medium (100-300pcs)</t>
  </si>
  <si>
    <t>β4 – Theme</t>
  </si>
  <si>
    <t>$/unit</t>
  </si>
  <si>
    <t>Marginal theme premium</t>
  </si>
  <si>
    <t>Group 4</t>
  </si>
  <si>
    <t>Small (&lt;100pcs)</t>
  </si>
  <si>
    <t xml:space="preserve">  📌  PREDICTION FORMULA:   Price = 35.3652  +  (0.0695 × Pieces)  +  (1.6686 × Minifigs)  +  (–8.1964 × SizeGroup)  +  (0.1164 × ThemeID)</t>
  </si>
  <si>
    <t xml:space="preserve">  Source: Maciorowski &amp; Maciorowski (2015) via brickpicker.com / eBay  ·  Model: OLS Linear Regression  ·  Dataset: 2,322 sets (1981–2014)  ·  All prices in USD</t>
  </si>
  <si>
    <t xml:space="preserve">  LEGO PREDICTIVE ANALYTICS — VISUAL ANALYSIS &amp; CHARTS</t>
  </si>
  <si>
    <t xml:space="preserve">  📊  Secondary Market ROI (%) by Theme — Top 12 Themes</t>
  </si>
  <si>
    <t xml:space="preserve">  💰  Average Retail Price ($) by Theme — Top 10 Themes</t>
  </si>
  <si>
    <t xml:space="preserve">  🥧  Set Size Distribution — % of Total Dataset (2,322 Sets)</t>
  </si>
  <si>
    <t xml:space="preserve">  📦  Average Retail Price ($) by Set Size Group</t>
  </si>
  <si>
    <t xml:space="preserve">  📉  Model R² Score — 5-Fold Cross Validation Results</t>
  </si>
  <si>
    <t xml:space="preserve">  🔍  Price Predictor Correlation Strength |r|</t>
  </si>
  <si>
    <t>ROI New (%)</t>
  </si>
  <si>
    <t>Avg Retail ($)</t>
  </si>
  <si>
    <t>Count</t>
  </si>
  <si>
    <t>Avg Price ($)</t>
  </si>
  <si>
    <t>Mean R²</t>
  </si>
  <si>
    <t>Predictor</t>
  </si>
  <si>
    <t>|r|</t>
  </si>
  <si>
    <t>Adv. Models</t>
  </si>
  <si>
    <t>Largest (800+)</t>
  </si>
  <si>
    <t>Largest</t>
  </si>
  <si>
    <t>Pieces</t>
  </si>
  <si>
    <t>Architecture</t>
  </si>
  <si>
    <t>Large (300-800)</t>
  </si>
  <si>
    <t>Large</t>
  </si>
  <si>
    <t>Technic</t>
  </si>
  <si>
    <t>Medium (100-300)</t>
  </si>
  <si>
    <t>Medium</t>
  </si>
  <si>
    <t>Minifigs</t>
  </si>
  <si>
    <t>LotR</t>
  </si>
  <si>
    <t>Small (&lt;100)</t>
  </si>
  <si>
    <t>Small</t>
  </si>
  <si>
    <t>Year</t>
  </si>
  <si>
    <t>Minecraft</t>
  </si>
  <si>
    <t>Indiana Jones</t>
  </si>
  <si>
    <t xml:space="preserve">  THEME-LEVEL ANALYSIS — Pricing Power &amp; Secondary Market Returns</t>
  </si>
  <si>
    <t xml:space="preserve">  Filter using column headers ▼  |  Green = High ROI (300%+)  |  Orange = Strong ROI (200-300%)  |  Use Ctrl+F to search themes</t>
  </si>
  <si>
    <t>Avg Pieces</t>
  </si>
  <si>
    <t>Avg Minifigs</t>
  </si>
  <si>
    <t>Price/Piece ($)</t>
  </si>
  <si>
    <t>Avg Sec Mkt ($)</t>
  </si>
  <si>
    <t>Power Score</t>
  </si>
  <si>
    <t>Category</t>
  </si>
  <si>
    <t>The Simpsons</t>
  </si>
  <si>
    <t>Premium/Niche</t>
  </si>
  <si>
    <t>Model Team</t>
  </si>
  <si>
    <t>Premium/High ROI</t>
  </si>
  <si>
    <t>Factory</t>
  </si>
  <si>
    <t>High-End</t>
  </si>
  <si>
    <t>Racers</t>
  </si>
  <si>
    <t>Mid-Tier</t>
  </si>
  <si>
    <t>Trains</t>
  </si>
  <si>
    <t>High ROI</t>
  </si>
  <si>
    <t>Lord of the Rings</t>
  </si>
  <si>
    <t>Licensed</t>
  </si>
  <si>
    <t>Licensed/High ROI</t>
  </si>
  <si>
    <t>Dino</t>
  </si>
  <si>
    <t>Agents</t>
  </si>
  <si>
    <t>The Lego Movie</t>
  </si>
  <si>
    <t>Discovery</t>
  </si>
  <si>
    <t>Ideas</t>
  </si>
  <si>
    <t>Lone Ranger</t>
  </si>
  <si>
    <t>Pirates of Caribbean</t>
  </si>
  <si>
    <t>Power Miners</t>
  </si>
  <si>
    <t>Classic/High ROI</t>
  </si>
  <si>
    <t>Mainstream</t>
  </si>
  <si>
    <t>TMNT</t>
  </si>
  <si>
    <t>Space</t>
  </si>
  <si>
    <t>Classic</t>
  </si>
  <si>
    <t>Prince of Persia</t>
  </si>
  <si>
    <t>SpongeBob</t>
  </si>
  <si>
    <t>Disney Princess</t>
  </si>
  <si>
    <t>Spider-Man</t>
  </si>
  <si>
    <t>Cars</t>
  </si>
  <si>
    <t>Toy Story</t>
  </si>
  <si>
    <t>Atlantis</t>
  </si>
  <si>
    <t>Legends of China</t>
  </si>
  <si>
    <t>Ninjago</t>
  </si>
  <si>
    <t>Creator</t>
  </si>
  <si>
    <t>Friends</t>
  </si>
  <si>
    <t>Hero Factory</t>
  </si>
  <si>
    <t>Seasonal</t>
  </si>
  <si>
    <t>Miscellaneous</t>
  </si>
  <si>
    <t>COLOR LEGEND</t>
  </si>
  <si>
    <t>ROI ≥300% = Green</t>
  </si>
  <si>
    <t>ROI ≥200% = Orange</t>
  </si>
  <si>
    <t xml:space="preserve">  🧱  LEGO SET RETAIL PRICE CALCULATOR — OLS Regression Model</t>
  </si>
  <si>
    <t xml:space="preserve">  Enter your set specifications below. The model predicts retail price using: Pieces, Minifigures, Size Group, and Theme ID.</t>
  </si>
  <si>
    <t xml:space="preserve">  📥  INPUT PARAMETERS  (Change highlighted yellow cells)</t>
  </si>
  <si>
    <t>Number of Pieces</t>
  </si>
  <si>
    <t>pieces</t>
  </si>
  <si>
    <t>Main price driver — piece count</t>
  </si>
  <si>
    <t>Number of Minifigures</t>
  </si>
  <si>
    <t>figures</t>
  </si>
  <si>
    <t>Character count in set</t>
  </si>
  <si>
    <t>Size Group (1=Biggest, 4=Smallest)</t>
  </si>
  <si>
    <t>1–4 scale</t>
  </si>
  <si>
    <t>1=Large, 2=Med-Large, 3=Med, 4=Small</t>
  </si>
  <si>
    <t>Theme Encoding ID</t>
  </si>
  <si>
    <t>0–43</t>
  </si>
  <si>
    <t>Use Theme Lookup in 'Theme Analysis' sheet</t>
  </si>
  <si>
    <t xml:space="preserve">  📤  PREDICTED OUTPUTS  (Auto-calculated)</t>
  </si>
  <si>
    <t>Predicted Retail Price ($)</t>
  </si>
  <si>
    <t>← Primary model output</t>
  </si>
  <si>
    <t>Suggested Price (Rounded to $5)</t>
  </si>
  <si>
    <t>← Retail pricing convention</t>
  </si>
  <si>
    <t>Price per Piece ($)</t>
  </si>
  <si>
    <t>← Industry: $0.06–$0.12 mass market</t>
  </si>
  <si>
    <t>Price Band — Low ($)</t>
  </si>
  <si>
    <t>← –10% confidence band</t>
  </si>
  <si>
    <t>Price Band — High ($)</t>
  </si>
  <si>
    <t>← +10% confidence band</t>
  </si>
  <si>
    <t>Value Tier</t>
  </si>
  <si>
    <t xml:space="preserve">  FORMULA:  Price = 35.3652 + (0.0695×Pieces) + (1.6686×Minifigs) + (–8.1964×SizeGroup) + (0.1164×ThemeID)</t>
  </si>
  <si>
    <t>B0_Intercept</t>
  </si>
  <si>
    <t>B1_Pieces</t>
  </si>
  <si>
    <t>B2_Minifigs</t>
  </si>
  <si>
    <t>B3_SizeGroup</t>
  </si>
  <si>
    <t>B4_Theme</t>
  </si>
  <si>
    <t xml:space="preserve">  FULL DATASET — MODEL PREDICTIONS &amp; RESIDUAL ANALYSIS (2,322 Sets)</t>
  </si>
  <si>
    <t xml:space="preserve">  ℹ  Use the AutoFilter (▼) to filter by Theme, Year, Value Flag, or any column.  Color: 🟩 UNDERPRICED  🟥 OVERPRICED  🟨 FAIR VALUE</t>
  </si>
  <si>
    <t>Set ID</t>
  </si>
  <si>
    <t>Set Name</t>
  </si>
  <si>
    <t>Sec.Mkt New ($)</t>
  </si>
  <si>
    <t>Sec.Mkt Used ($)</t>
  </si>
  <si>
    <t>Predicted ($)</t>
  </si>
  <si>
    <t>Residual ($)</t>
  </si>
  <si>
    <t>% Error</t>
  </si>
  <si>
    <t>Value Flag</t>
  </si>
  <si>
    <t>Millennium Falcon</t>
  </si>
  <si>
    <t>Death Star</t>
  </si>
  <si>
    <t>Super Star Destroyer</t>
  </si>
  <si>
    <t>Sydney Opera House</t>
  </si>
  <si>
    <t>Sandcrawler</t>
  </si>
  <si>
    <t>Taj Mahal</t>
  </si>
  <si>
    <t>Imperial Star Destroyer</t>
  </si>
  <si>
    <t>Imperial Shuttle</t>
  </si>
  <si>
    <t>Grand Carousel</t>
  </si>
  <si>
    <t>Ewok Village</t>
  </si>
  <si>
    <t>Eiffel Tower</t>
  </si>
  <si>
    <t>Cafe Corner</t>
  </si>
  <si>
    <t>Green Grocer</t>
  </si>
  <si>
    <t>Town Plan</t>
  </si>
  <si>
    <t>Statue of Liberty</t>
  </si>
  <si>
    <t>The Tumbler</t>
  </si>
  <si>
    <t>Arkham Asylum Breakout</t>
  </si>
  <si>
    <t>Hogwarts Castle</t>
  </si>
  <si>
    <t>Diagon Alley</t>
  </si>
  <si>
    <t>Motorized Hogwarts Express</t>
  </si>
  <si>
    <t>Tower of Orthanc</t>
  </si>
  <si>
    <t>Battle of Helm's Deep</t>
  </si>
  <si>
    <t>Skull's Eye Schooner</t>
  </si>
  <si>
    <t>Black Seas Barracuda</t>
  </si>
  <si>
    <t>Imperial Flagship</t>
  </si>
  <si>
    <t>Various</t>
  </si>
  <si>
    <t>Haunted House</t>
  </si>
  <si>
    <t>VOLVO L350F Front Loader</t>
  </si>
  <si>
    <t>Mobile Crane MK II</t>
  </si>
  <si>
    <t>Motorized Bulldozer</t>
  </si>
  <si>
    <t>Motorized Excavator</t>
  </si>
  <si>
    <t>Cargo Train</t>
  </si>
  <si>
    <t>High-Speed Passenger Train</t>
  </si>
  <si>
    <t>Robie House</t>
  </si>
  <si>
    <t>Architecture Studio</t>
  </si>
  <si>
    <t>Lego Movie</t>
  </si>
  <si>
    <t>MetalBeard's Sea Cow</t>
  </si>
  <si>
    <t>Ferrari F1 Racer 1:8</t>
  </si>
  <si>
    <t>Horizon Express</t>
  </si>
  <si>
    <t>Emerald Night</t>
  </si>
  <si>
    <t>LEGO Express</t>
  </si>
  <si>
    <t>LEGO Express Deluxe</t>
  </si>
  <si>
    <t>Epic Dragon Battle</t>
  </si>
  <si>
    <t>Fire Temple</t>
  </si>
  <si>
    <t>Kingdoms Joust</t>
  </si>
  <si>
    <t>King's Castle</t>
  </si>
  <si>
    <t>Knight's Castle</t>
  </si>
  <si>
    <t>The Mine</t>
  </si>
  <si>
    <t>Flying Phoenix Fire Temple</t>
  </si>
  <si>
    <t>Battle for Ninjago City</t>
  </si>
  <si>
    <t>The Lonely Mountain</t>
  </si>
  <si>
    <t>UCS Slave I</t>
  </si>
  <si>
    <t>4x4 Crawler</t>
  </si>
  <si>
    <t>Grand Prix Racer</t>
  </si>
  <si>
    <t>Heartlake Shopping Mall</t>
  </si>
  <si>
    <t>AT-AT Walker</t>
  </si>
  <si>
    <t>Town Square</t>
  </si>
  <si>
    <t>Vader's TIE Advanced</t>
  </si>
  <si>
    <t>Winter Village Cottage</t>
  </si>
  <si>
    <t>Toa Lhikan &amp; Kikanalo</t>
  </si>
  <si>
    <t>Umbra</t>
  </si>
  <si>
    <t>Irnakk</t>
  </si>
  <si>
    <t>Butterfly Beauty Shop</t>
  </si>
  <si>
    <t>Batcycle</t>
  </si>
  <si>
    <t>Batcopter</t>
  </si>
  <si>
    <t>Batmobile: Two-Face</t>
  </si>
  <si>
    <t>Train Rail Crossing</t>
  </si>
  <si>
    <t>Train Motor 9V</t>
  </si>
  <si>
    <t>Shanghai Chase</t>
  </si>
  <si>
    <t>Multiple</t>
  </si>
  <si>
    <t xml:space="preserve">  MODEL PERFORMANCE &amp; REGRESSION PARAMETER REFERENCE</t>
  </si>
  <si>
    <t xml:space="preserve">  ✅  COMPREHENSIVE MODEL PERFORMANCE METRICS</t>
  </si>
  <si>
    <t>Metric</t>
  </si>
  <si>
    <t>Value</t>
  </si>
  <si>
    <t>Benchmark</t>
  </si>
  <si>
    <t>Description</t>
  </si>
  <si>
    <t>R² Score (Cross-Validated)</t>
  </si>
  <si>
    <t>≥ 0.80</t>
  </si>
  <si>
    <t>% variance in retail price explained by model</t>
  </si>
  <si>
    <t>R² Score (Hold-out Test Set)</t>
  </si>
  <si>
    <t>Performance on 20% unseen test data</t>
  </si>
  <si>
    <t>Mean Absolute Error (MAE)</t>
  </si>
  <si>
    <t>&lt; $10.00</t>
  </si>
  <si>
    <t>Average dollar error in price prediction</t>
  </si>
  <si>
    <t>Cross-Val Std Dev</t>
  </si>
  <si>
    <t>&lt; 0.10</t>
  </si>
  <si>
    <t>Stability across 5 folds</t>
  </si>
  <si>
    <t>Training Observations</t>
  </si>
  <si>
    <t>—</t>
  </si>
  <si>
    <t>Sets used to train regression model (80%)</t>
  </si>
  <si>
    <t>Test Observations</t>
  </si>
  <si>
    <t>Sets used to evaluate out-of-sample (20%)</t>
  </si>
  <si>
    <t>Total Dataset</t>
  </si>
  <si>
    <t>Total LEGO sets in analysis (1981–2014)</t>
  </si>
  <si>
    <t>Fold 1 R²</t>
  </si>
  <si>
    <t>Individual cross-validation fold</t>
  </si>
  <si>
    <t>Fold 2 R²</t>
  </si>
  <si>
    <t>Lower — heterogeneous subset</t>
  </si>
  <si>
    <t>Fold 3 R²</t>
  </si>
  <si>
    <t>Fold 4 R²</t>
  </si>
  <si>
    <t>Fold 5 R²</t>
  </si>
  <si>
    <t xml:space="preserve">  💡  KEY ANALYTICAL INSIGHTS</t>
  </si>
  <si>
    <t>1. Piece count is the single strongest predictor of LEGO retail price (r = 0.92), confirming the 'price-per-piece' heuristic used by collectors and analysts.</t>
  </si>
  <si>
    <t>2. Size group explains ~85% of price variation alone — Group 1 (Largest) averages $167.95 vs. only $14.91 for Group 4 (Smallest), an 11.3× multiplier.</t>
  </si>
  <si>
    <t>3. The model achieves R² = 0.85+ across cross-validation folds, explaining over 85% of retail price variance with just 4 predictors.</t>
  </si>
  <si>
    <t>4. Minifigures carry a premium of ~$1.67 each — figure-heavy licensed themes (Star Wars, Harry Potter) are structurally higher-priced due to this effect.</t>
  </si>
  <si>
    <t>5. Advanced Models and Technic carry the highest average retail prices ($138.73, $57.71) driven by piece-intensive adult-oriented builds.</t>
  </si>
  <si>
    <t>6. Secondary market ROI exceeds 300% for Super Heroes, Castle, and Pirates — confirming strong collector demand for discontinued classic sets.</t>
  </si>
  <si>
    <t>7. Fold 2 R² (0.65) is an outlier — likely a heterogeneous subset with unusual piece/price ratios; overall CV mean (0.85) remains strong.</t>
  </si>
  <si>
    <t>8. Theme encoding contributes marginally (β4 = 0.1164) — price is driven predominantly by physical set characteristics, not branding alone.</t>
  </si>
  <si>
    <t>Corr – Pieces (r)</t>
  </si>
  <si>
    <t>Corr – Size Group (|r|)</t>
  </si>
  <si>
    <t>Corr – Minifigs (r)</t>
  </si>
  <si>
    <t>Corr – Year Released (r)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</si>
</sst>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.00"/>
    <numFmt numFmtId="177" formatCode="0.0%"/>
    <numFmt numFmtId="178" formatCode="0.0\%"/>
    <numFmt numFmtId="179" formatCode="&quot;$&quot;#,##0"/>
    <numFmt numFmtId="180" formatCode="&quot;$&quot;0.0000"/>
    <numFmt numFmtId="181" formatCode="&quot;$&quot;0.000"/>
    <numFmt numFmtId="182" formatCode="0.0"/>
  </numFmts>
  <fonts count="46">
    <font>
      <sz val="11"/>
      <color theme="1"/>
      <name val="Calibri"/>
      <charset val="1"/>
    </font>
    <font>
      <b/>
      <sz val="14"/>
      <color rgb="FFFFD70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00B050"/>
      <name val="Arial"/>
      <charset val="1"/>
    </font>
    <font>
      <b/>
      <sz val="9"/>
      <color rgb="FFD36A25"/>
      <name val="Arial"/>
      <charset val="1"/>
    </font>
    <font>
      <i/>
      <sz val="9"/>
      <color rgb="FFFFFFFF"/>
      <name val="Arial"/>
      <charset val="1"/>
    </font>
    <font>
      <b/>
      <sz val="9"/>
      <color rgb="FFC4001C"/>
      <name val="Arial"/>
      <charset val="1"/>
    </font>
    <font>
      <b/>
      <sz val="16"/>
      <color rgb="FFFFD700"/>
      <name val="Arial"/>
      <charset val="1"/>
    </font>
    <font>
      <b/>
      <sz val="10"/>
      <color rgb="FF1A1A2E"/>
      <name val="Arial"/>
      <charset val="1"/>
    </font>
    <font>
      <b/>
      <sz val="12"/>
      <color rgb="FF1A1A2E"/>
      <name val="Arial"/>
      <charset val="1"/>
    </font>
    <font>
      <i/>
      <sz val="9"/>
      <color rgb="FF888888"/>
      <name val="Arial"/>
      <charset val="1"/>
    </font>
    <font>
      <i/>
      <sz val="9"/>
      <color rgb="FF666666"/>
      <name val="Arial"/>
      <charset val="1"/>
    </font>
    <font>
      <b/>
      <sz val="11"/>
      <color rgb="FFC4001C"/>
      <name val="Arial"/>
      <charset val="1"/>
    </font>
    <font>
      <b/>
      <i/>
      <sz val="10"/>
      <color rgb="FF0F3460"/>
      <name val="Arial"/>
      <charset val="1"/>
    </font>
    <font>
      <sz val="9"/>
      <color rgb="FF0000FF"/>
      <name val="Arial"/>
      <charset val="1"/>
    </font>
    <font>
      <sz val="8"/>
      <color rgb="FF1A1A2E"/>
      <name val="Arial"/>
      <charset val="1"/>
    </font>
    <font>
      <b/>
      <sz val="8"/>
      <color rgb="FFFFFFFF"/>
      <name val="Arial"/>
      <charset val="1"/>
    </font>
    <font>
      <b/>
      <sz val="20"/>
      <color rgb="FFFFD700"/>
      <name val="Arial"/>
      <charset val="1"/>
    </font>
    <font>
      <b/>
      <sz val="8"/>
      <color rgb="FFFFD700"/>
      <name val="Arial"/>
      <charset val="1"/>
    </font>
    <font>
      <b/>
      <sz val="22"/>
      <color rgb="FFFFFFFF"/>
      <name val="Arial"/>
      <charset val="1"/>
    </font>
    <font>
      <i/>
      <sz val="8"/>
      <color rgb="FFD9D9D9"/>
      <name val="Arial"/>
      <charset val="1"/>
    </font>
    <font>
      <b/>
      <sz val="9"/>
      <color rgb="FF0000FF"/>
      <name val="Arial"/>
      <charset val="1"/>
    </font>
    <font>
      <b/>
      <sz val="9"/>
      <color rgb="FF1A1A2E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0B050"/>
        <bgColor rgb="FF008080"/>
      </patternFill>
    </fill>
    <fill>
      <patternFill patternType="solid">
        <fgColor rgb="FF16213E"/>
        <bgColor rgb="FF1A1A2E"/>
      </patternFill>
    </fill>
    <fill>
      <patternFill patternType="solid">
        <fgColor rgb="FFF2F2F2"/>
        <bgColor rgb="FFEEEEEE"/>
      </patternFill>
    </fill>
    <fill>
      <patternFill patternType="solid">
        <fgColor rgb="FFFFFFFF"/>
        <bgColor rgb="FFF9F9F9"/>
      </patternFill>
    </fill>
    <fill>
      <patternFill patternType="solid">
        <fgColor rgb="FFC4001C"/>
        <bgColor rgb="FF800000"/>
      </patternFill>
    </fill>
    <fill>
      <patternFill patternType="solid">
        <fgColor rgb="FF0F3460"/>
        <bgColor rgb="FF16213E"/>
      </patternFill>
    </fill>
    <fill>
      <patternFill patternType="solid">
        <fgColor rgb="FFE2EFDA"/>
        <bgColor rgb="FFEDEDED"/>
      </patternFill>
    </fill>
    <fill>
      <patternFill patternType="solid">
        <fgColor rgb="FFFFCCCC"/>
        <bgColor rgb="FFFCE4D6"/>
      </patternFill>
    </fill>
    <fill>
      <patternFill patternType="solid">
        <fgColor rgb="FFFFFACD"/>
        <bgColor rgb="FFFFF2CC"/>
      </patternFill>
    </fill>
    <fill>
      <patternFill patternType="solid">
        <fgColor rgb="FFFFD700"/>
        <bgColor rgb="FFFF9900"/>
      </patternFill>
    </fill>
    <fill>
      <patternFill patternType="solid">
        <fgColor rgb="FFD9D9D9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ACD"/>
      </patternFill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D9E1F2"/>
        <bgColor rgb="FFDDEBF7"/>
      </patternFill>
    </fill>
    <fill>
      <patternFill patternType="solid">
        <fgColor rgb="FFEDEDED"/>
        <bgColor rgb="FFEEEEEE"/>
      </patternFill>
    </fill>
    <fill>
      <patternFill patternType="solid">
        <fgColor rgb="FFEEEEEE"/>
        <bgColor rgb="FFEDEDED"/>
      </patternFill>
    </fill>
    <fill>
      <patternFill patternType="solid">
        <fgColor rgb="FFD36A25"/>
        <bgColor rgb="FFC0504D"/>
      </patternFill>
    </fill>
    <fill>
      <patternFill patternType="solid">
        <fgColor rgb="FF006400"/>
        <bgColor rgb="FF00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C4001C"/>
      </left>
      <right style="medium">
        <color rgb="FFC4001C"/>
      </right>
      <top style="medium">
        <color rgb="FFC4001C"/>
      </top>
      <bottom style="medium">
        <color rgb="FFC4001C"/>
      </bottom>
      <diagonal/>
    </border>
    <border>
      <left style="medium">
        <color rgb="FF006400"/>
      </left>
      <right style="medium">
        <color rgb="FF006400"/>
      </right>
      <top style="medium">
        <color rgb="FF006400"/>
      </top>
      <bottom style="medium">
        <color rgb="FF0064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Border="0" applyAlignment="0" applyProtection="0"/>
    <xf numFmtId="44" fontId="25" fillId="0" borderId="0" applyBorder="0" applyAlignment="0" applyProtection="0"/>
    <xf numFmtId="9" fontId="25" fillId="0" borderId="0" applyBorder="0" applyAlignment="0" applyProtection="0"/>
    <xf numFmtId="41" fontId="25" fillId="0" borderId="0" applyBorder="0" applyAlignment="0" applyProtection="0"/>
    <xf numFmtId="42" fontId="25" fillId="0" borderId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3" borderId="5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6" fillId="25" borderId="9" applyNumberFormat="0" applyAlignment="0" applyProtection="0">
      <alignment vertical="center"/>
    </xf>
    <xf numFmtId="0" fontId="37" fillId="25" borderId="8" applyNumberFormat="0" applyAlignment="0" applyProtection="0">
      <alignment vertical="center"/>
    </xf>
    <xf numFmtId="0" fontId="38" fillId="26" borderId="10" applyNumberFormat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</cellStyleXfs>
  <cellXfs count="117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 indent="2"/>
    </xf>
    <xf numFmtId="0" fontId="4" fillId="6" borderId="2" xfId="0" applyFont="1" applyFill="1" applyBorder="1" applyAlignment="1">
      <alignment horizontal="left" vertical="center" wrapText="1" indent="2"/>
    </xf>
    <xf numFmtId="0" fontId="7" fillId="8" borderId="0" xfId="0" applyFont="1" applyFill="1" applyBorder="1" applyAlignment="1">
      <alignment horizontal="left" vertical="center" indent="2"/>
    </xf>
    <xf numFmtId="0" fontId="4" fillId="9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center" vertical="center"/>
    </xf>
    <xf numFmtId="176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center" vertical="center"/>
    </xf>
    <xf numFmtId="176" fontId="4" fillId="11" borderId="1" xfId="0" applyNumberFormat="1" applyFont="1" applyFill="1" applyBorder="1" applyAlignment="1">
      <alignment horizontal="center" vertical="center"/>
    </xf>
    <xf numFmtId="177" fontId="4" fillId="9" borderId="1" xfId="0" applyNumberFormat="1" applyFont="1" applyFill="1" applyBorder="1" applyAlignment="1">
      <alignment horizontal="center" vertical="center"/>
    </xf>
    <xf numFmtId="178" fontId="4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77" fontId="4" fillId="10" borderId="1" xfId="0" applyNumberFormat="1" applyFont="1" applyFill="1" applyBorder="1" applyAlignment="1">
      <alignment horizontal="center" vertical="center"/>
    </xf>
    <xf numFmtId="178" fontId="4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77" fontId="4" fillId="11" borderId="1" xfId="0" applyNumberFormat="1" applyFont="1" applyFill="1" applyBorder="1" applyAlignment="1">
      <alignment horizontal="center" vertical="center"/>
    </xf>
    <xf numFmtId="178" fontId="4" fillId="11" borderId="1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indent="1"/>
    </xf>
    <xf numFmtId="0" fontId="11" fillId="12" borderId="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176" fontId="11" fillId="12" borderId="4" xfId="0" applyNumberFormat="1" applyFont="1" applyFill="1" applyBorder="1" applyAlignment="1">
      <alignment horizontal="center" vertical="center"/>
    </xf>
    <xf numFmtId="179" fontId="11" fillId="12" borderId="4" xfId="0" applyNumberFormat="1" applyFont="1" applyFill="1" applyBorder="1" applyAlignment="1">
      <alignment horizontal="center" vertical="center"/>
    </xf>
    <xf numFmtId="180" fontId="11" fillId="12" borderId="4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indent="1"/>
    </xf>
    <xf numFmtId="0" fontId="14" fillId="12" borderId="3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left" vertical="center" indent="2"/>
    </xf>
    <xf numFmtId="0" fontId="16" fillId="0" borderId="0" xfId="0" applyFont="1" applyAlignment="1"/>
    <xf numFmtId="0" fontId="4" fillId="14" borderId="1" xfId="0" applyFont="1" applyFill="1" applyBorder="1" applyAlignment="1">
      <alignment horizontal="left" vertical="center" indent="1"/>
    </xf>
    <xf numFmtId="0" fontId="4" fillId="14" borderId="1" xfId="0" applyFont="1" applyFill="1" applyBorder="1" applyAlignment="1">
      <alignment horizontal="center" vertical="center"/>
    </xf>
    <xf numFmtId="176" fontId="4" fillId="14" borderId="1" xfId="0" applyNumberFormat="1" applyFont="1" applyFill="1" applyBorder="1" applyAlignment="1">
      <alignment horizontal="center" vertical="center"/>
    </xf>
    <xf numFmtId="181" fontId="4" fillId="14" borderId="1" xfId="0" applyNumberFormat="1" applyFont="1" applyFill="1" applyBorder="1" applyAlignment="1">
      <alignment horizontal="center" vertical="center"/>
    </xf>
    <xf numFmtId="182" fontId="8" fillId="14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indent="1"/>
    </xf>
    <xf numFmtId="0" fontId="4" fillId="15" borderId="1" xfId="0" applyFont="1" applyFill="1" applyBorder="1" applyAlignment="1">
      <alignment horizontal="center" vertical="center"/>
    </xf>
    <xf numFmtId="176" fontId="4" fillId="15" borderId="1" xfId="0" applyNumberFormat="1" applyFont="1" applyFill="1" applyBorder="1" applyAlignment="1">
      <alignment horizontal="center" vertical="center"/>
    </xf>
    <xf numFmtId="181" fontId="4" fillId="15" borderId="1" xfId="0" applyNumberFormat="1" applyFont="1" applyFill="1" applyBorder="1" applyAlignment="1">
      <alignment horizontal="center" vertical="center"/>
    </xf>
    <xf numFmtId="182" fontId="5" fillId="15" borderId="1" xfId="0" applyNumberFormat="1" applyFont="1" applyFill="1" applyBorder="1" applyAlignment="1">
      <alignment horizontal="center" vertical="center"/>
    </xf>
    <xf numFmtId="182" fontId="4" fillId="14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81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181" fontId="4" fillId="9" borderId="1" xfId="0" applyNumberFormat="1" applyFont="1" applyFill="1" applyBorder="1" applyAlignment="1">
      <alignment horizontal="center" vertical="center"/>
    </xf>
    <xf numFmtId="182" fontId="6" fillId="9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 indent="1"/>
    </xf>
    <xf numFmtId="0" fontId="4" fillId="16" borderId="1" xfId="0" applyFont="1" applyFill="1" applyBorder="1" applyAlignment="1">
      <alignment horizontal="center" vertical="center"/>
    </xf>
    <xf numFmtId="176" fontId="4" fillId="16" borderId="1" xfId="0" applyNumberFormat="1" applyFont="1" applyFill="1" applyBorder="1" applyAlignment="1">
      <alignment horizontal="center" vertical="center"/>
    </xf>
    <xf numFmtId="181" fontId="4" fillId="16" borderId="1" xfId="0" applyNumberFormat="1" applyFont="1" applyFill="1" applyBorder="1" applyAlignment="1">
      <alignment horizontal="center" vertical="center"/>
    </xf>
    <xf numFmtId="182" fontId="4" fillId="16" borderId="1" xfId="0" applyNumberFormat="1" applyFont="1" applyFill="1" applyBorder="1" applyAlignment="1">
      <alignment horizontal="center" vertical="center"/>
    </xf>
    <xf numFmtId="182" fontId="4" fillId="9" borderId="1" xfId="0" applyNumberFormat="1" applyFont="1" applyFill="1" applyBorder="1" applyAlignment="1">
      <alignment horizontal="center" vertical="center"/>
    </xf>
    <xf numFmtId="182" fontId="5" fillId="9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 indent="1"/>
    </xf>
    <xf numFmtId="0" fontId="4" fillId="17" borderId="1" xfId="0" applyFont="1" applyFill="1" applyBorder="1" applyAlignment="1">
      <alignment horizontal="center" vertical="center"/>
    </xf>
    <xf numFmtId="176" fontId="4" fillId="17" borderId="1" xfId="0" applyNumberFormat="1" applyFont="1" applyFill="1" applyBorder="1" applyAlignment="1">
      <alignment horizontal="center" vertical="center"/>
    </xf>
    <xf numFmtId="181" fontId="4" fillId="17" borderId="1" xfId="0" applyNumberFormat="1" applyFont="1" applyFill="1" applyBorder="1" applyAlignment="1">
      <alignment horizontal="center" vertical="center"/>
    </xf>
    <xf numFmtId="182" fontId="5" fillId="17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 indent="1"/>
    </xf>
    <xf numFmtId="0" fontId="4" fillId="18" borderId="1" xfId="0" applyFont="1" applyFill="1" applyBorder="1" applyAlignment="1">
      <alignment horizontal="center" vertical="center"/>
    </xf>
    <xf numFmtId="176" fontId="4" fillId="18" borderId="1" xfId="0" applyNumberFormat="1" applyFont="1" applyFill="1" applyBorder="1" applyAlignment="1">
      <alignment horizontal="center" vertical="center"/>
    </xf>
    <xf numFmtId="181" fontId="4" fillId="18" borderId="1" xfId="0" applyNumberFormat="1" applyFont="1" applyFill="1" applyBorder="1" applyAlignment="1">
      <alignment horizontal="center" vertical="center"/>
    </xf>
    <xf numFmtId="182" fontId="4" fillId="18" borderId="1" xfId="0" applyNumberFormat="1" applyFont="1" applyFill="1" applyBorder="1" applyAlignment="1">
      <alignment horizontal="center" vertical="center"/>
    </xf>
    <xf numFmtId="182" fontId="6" fillId="17" borderId="1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 indent="1"/>
    </xf>
    <xf numFmtId="0" fontId="4" fillId="19" borderId="1" xfId="0" applyFont="1" applyFill="1" applyBorder="1" applyAlignment="1">
      <alignment horizontal="center" vertical="center"/>
    </xf>
    <xf numFmtId="176" fontId="4" fillId="19" borderId="1" xfId="0" applyNumberFormat="1" applyFont="1" applyFill="1" applyBorder="1" applyAlignment="1">
      <alignment horizontal="center" vertical="center"/>
    </xf>
    <xf numFmtId="181" fontId="4" fillId="19" borderId="1" xfId="0" applyNumberFormat="1" applyFont="1" applyFill="1" applyBorder="1" applyAlignment="1">
      <alignment horizontal="center" vertical="center"/>
    </xf>
    <xf numFmtId="182" fontId="4" fillId="19" borderId="1" xfId="0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 indent="1"/>
    </xf>
    <xf numFmtId="0" fontId="4" fillId="20" borderId="1" xfId="0" applyFont="1" applyFill="1" applyBorder="1" applyAlignment="1">
      <alignment horizontal="center" vertical="center"/>
    </xf>
    <xf numFmtId="176" fontId="4" fillId="20" borderId="1" xfId="0" applyNumberFormat="1" applyFont="1" applyFill="1" applyBorder="1" applyAlignment="1">
      <alignment horizontal="center" vertical="center"/>
    </xf>
    <xf numFmtId="181" fontId="4" fillId="20" borderId="1" xfId="0" applyNumberFormat="1" applyFont="1" applyFill="1" applyBorder="1" applyAlignment="1">
      <alignment horizontal="center" vertical="center"/>
    </xf>
    <xf numFmtId="182" fontId="4" fillId="20" borderId="1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2" fillId="21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8" fillId="8" borderId="0" xfId="0" applyFont="1" applyFill="1" applyAlignment="1"/>
    <xf numFmtId="0" fontId="2" fillId="8" borderId="0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0" fillId="7" borderId="0" xfId="0" applyFill="1" applyBorder="1" applyAlignment="1"/>
    <xf numFmtId="0" fontId="20" fillId="4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0" fillId="4" borderId="0" xfId="0" applyFill="1" applyBorder="1" applyAlignment="1"/>
    <xf numFmtId="0" fontId="3" fillId="8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2" fillId="22" borderId="0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0"/>
      <rgbColor rgb="00666666"/>
      <rgbColor rgb="00800080"/>
      <rgbColor rgb="00008080"/>
      <rgbColor rgb="00CCCCCC"/>
      <rgbColor rgb="00878787"/>
      <rgbColor rgb="00F9F9F9"/>
      <rgbColor rgb="00C0504D"/>
      <rgbColor rgb="00FFFACD"/>
      <rgbColor rgb="00DDEBF7"/>
      <rgbColor rgb="00660066"/>
      <rgbColor rgb="00FF8080"/>
      <rgbColor rgb="000066CC"/>
      <rgbColor rgb="00D9D9D9"/>
      <rgbColor rgb="00000080"/>
      <rgbColor rgb="00FF00FF"/>
      <rgbColor rgb="00F2F2F2"/>
      <rgbColor rgb="0000FFFF"/>
      <rgbColor rgb="00800080"/>
      <rgbColor rgb="00800000"/>
      <rgbColor rgb="00008080"/>
      <rgbColor rgb="000000FF"/>
      <rgbColor rgb="0000CCFF"/>
      <rgbColor rgb="00DEEBF7"/>
      <rgbColor rgb="00E2EFDA"/>
      <rgbColor rgb="00FFF2CC"/>
      <rgbColor rgb="00D9E1F2"/>
      <rgbColor rgb="00FCE4D6"/>
      <rgbColor rgb="00EDEDED"/>
      <rgbColor rgb="00FFCCCC"/>
      <rgbColor rgb="004F81BD"/>
      <rgbColor rgb="0033CCCC"/>
      <rgbColor rgb="009BBB59"/>
      <rgbColor rgb="00FFD700"/>
      <rgbColor rgb="00FF9900"/>
      <rgbColor rgb="00D36A25"/>
      <rgbColor rgb="008064A2"/>
      <rgbColor rgb="00888888"/>
      <rgbColor rgb="000F3460"/>
      <rgbColor rgb="0000B050"/>
      <rgbColor rgb="00003300"/>
      <rgbColor rgb="001A1A2E"/>
      <rgbColor rgb="00993300"/>
      <rgbColor rgb="00993366"/>
      <rgbColor rgb="00333399"/>
      <rgbColor rgb="00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 panose="020F0502020204030204"/>
              </a:rPr>
              <a:t>Secondary Market ROI by Theme (%)</a:t>
            </a:r>
            <a:endParaRPr lang="en-GB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Charts &amp; Analysis'!$B$62</c:f>
              <c:strCache>
                <c:ptCount val="1"/>
                <c:pt idx="0">
                  <c:v>ROI New (%)</c:v>
                </c:pt>
              </c:strCache>
            </c:strRef>
          </c:tx>
          <c:spPr>
            <a:solidFill>
              <a:srgbClr val="C4001C"/>
            </a:solidFill>
            <a:ln w="9360">
              <a:solidFill>
                <a:srgbClr val="C4001C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'📈 Charts &amp; Analysis'!$A$63:$A$74</c:f>
              <c:strCache>
                <c:ptCount val="12"/>
                <c:pt idx="0">
                  <c:v>Super Heroes</c:v>
                </c:pt>
                <c:pt idx="1">
                  <c:v>Castle</c:v>
                </c:pt>
                <c:pt idx="2">
                  <c:v>Adv. Models</c:v>
                </c:pt>
                <c:pt idx="3">
                  <c:v>Harry Potter</c:v>
                </c:pt>
                <c:pt idx="4">
                  <c:v>Pirates</c:v>
                </c:pt>
                <c:pt idx="5">
                  <c:v>Batman</c:v>
                </c:pt>
                <c:pt idx="6">
                  <c:v>Indiana Jones</c:v>
                </c:pt>
                <c:pt idx="7">
                  <c:v>Monster Fighters</c:v>
                </c:pt>
                <c:pt idx="8">
                  <c:v>Star Wars</c:v>
                </c:pt>
                <c:pt idx="9">
                  <c:v>Bionicle</c:v>
                </c:pt>
                <c:pt idx="10">
                  <c:v>City</c:v>
                </c:pt>
                <c:pt idx="11">
                  <c:v>Technic</c:v>
                </c:pt>
              </c:strCache>
            </c:strRef>
          </c:cat>
          <c:val>
            <c:numRef>
              <c:f>'📈 Charts &amp; Analysis'!$B$63:$B$74</c:f>
              <c:numCache>
                <c:formatCode>General</c:formatCode>
                <c:ptCount val="12"/>
                <c:pt idx="0">
                  <c:v>475.079872204473</c:v>
                </c:pt>
                <c:pt idx="1">
                  <c:v>269.842312746386</c:v>
                </c:pt>
                <c:pt idx="2">
                  <c:v>589.528474124008</c:v>
                </c:pt>
                <c:pt idx="3">
                  <c:v>181.896142210666</c:v>
                </c:pt>
                <c:pt idx="4">
                  <c:v>284.65597045351</c:v>
                </c:pt>
                <c:pt idx="5">
                  <c:v>148.174241582398</c:v>
                </c:pt>
                <c:pt idx="6">
                  <c:v>201.258513473497</c:v>
                </c:pt>
                <c:pt idx="7">
                  <c:v>68.97049836102</c:v>
                </c:pt>
                <c:pt idx="8">
                  <c:v>58.4771826681516</c:v>
                </c:pt>
                <c:pt idx="9">
                  <c:v>248.568213079905</c:v>
                </c:pt>
                <c:pt idx="10">
                  <c:v>16.3878805837469</c:v>
                </c:pt>
                <c:pt idx="11">
                  <c:v>69.9104269936516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2778139"/>
        <c:axId val="9924725"/>
      </c:barChart>
      <c:catAx>
        <c:axId val="7277813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Theme</a:t>
                </a:r>
                <a:endParaRPr lang="en-GB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924725"/>
        <c:crosses val="autoZero"/>
        <c:auto val="1"/>
        <c:lblAlgn val="ctr"/>
        <c:lblOffset val="100"/>
        <c:noMultiLvlLbl val="0"/>
      </c:catAx>
      <c:valAx>
        <c:axId val="9924725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ROI (%)</a:t>
                </a:r>
                <a:endParaRPr lang="en-GB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27781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356e04-8da3-4c9d-9a2e-2cbdf8e5c0e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 panose="020F0502020204030204"/>
              </a:rPr>
              <a:t>Average Retail Price by Theme ($)</a:t>
            </a:r>
            <a:endParaRPr lang="en-GB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Charts &amp; Analysis'!$E$62</c:f>
              <c:strCache>
                <c:ptCount val="1"/>
                <c:pt idx="0">
                  <c:v>Avg Retail ($)</c:v>
                </c:pt>
              </c:strCache>
            </c:strRef>
          </c:tx>
          <c:spPr>
            <a:solidFill>
              <a:srgbClr val="0F34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'📈 Charts &amp; Analysis'!$D$63:$D$72</c:f>
              <c:strCache>
                <c:ptCount val="10"/>
                <c:pt idx="0">
                  <c:v>Adv. Models</c:v>
                </c:pt>
                <c:pt idx="1">
                  <c:v>Architecture</c:v>
                </c:pt>
                <c:pt idx="2">
                  <c:v>Technic</c:v>
                </c:pt>
                <c:pt idx="3">
                  <c:v>LotR</c:v>
                </c:pt>
                <c:pt idx="4">
                  <c:v>Star Wars</c:v>
                </c:pt>
                <c:pt idx="5">
                  <c:v>Minecraft</c:v>
                </c:pt>
                <c:pt idx="6">
                  <c:v>Batman</c:v>
                </c:pt>
                <c:pt idx="7">
                  <c:v>Harry Potter</c:v>
                </c:pt>
                <c:pt idx="8">
                  <c:v>City</c:v>
                </c:pt>
                <c:pt idx="9">
                  <c:v>Pirates</c:v>
                </c:pt>
              </c:strCache>
            </c:strRef>
          </c:cat>
          <c:val>
            <c:numRef>
              <c:f>'📈 Charts &amp; Analysis'!$E$63:$E$72</c:f>
              <c:numCache>
                <c:formatCode>General</c:formatCode>
                <c:ptCount val="10"/>
                <c:pt idx="0">
                  <c:v>213.615</c:v>
                </c:pt>
                <c:pt idx="1">
                  <c:v>174.99</c:v>
                </c:pt>
                <c:pt idx="2">
                  <c:v>191.65</c:v>
                </c:pt>
                <c:pt idx="3">
                  <c:v>153.323333333333</c:v>
                </c:pt>
                <c:pt idx="4">
                  <c:v>257.406666666667</c:v>
                </c:pt>
                <c:pt idx="5">
                  <c:v>109.99</c:v>
                </c:pt>
                <c:pt idx="6">
                  <c:v>89.99</c:v>
                </c:pt>
                <c:pt idx="7">
                  <c:v>133.323333333333</c:v>
                </c:pt>
                <c:pt idx="8">
                  <c:v>134.99</c:v>
                </c:pt>
                <c:pt idx="9">
                  <c:v>138.99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2156761"/>
        <c:axId val="65634193"/>
      </c:barChart>
      <c:catAx>
        <c:axId val="921567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5634193"/>
        <c:crosses val="autoZero"/>
        <c:auto val="1"/>
        <c:lblAlgn val="ctr"/>
        <c:lblOffset val="100"/>
        <c:noMultiLvlLbl val="0"/>
      </c:catAx>
      <c:valAx>
        <c:axId val="6563419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Avg Price ($)</a:t>
                </a:r>
                <a:endParaRPr lang="en-GB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21567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214234-baf5-46e8-8fa9-4b604d5e131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 panose="020F0502020204030204"/>
              </a:rPr>
              <a:t>LEGO Set Size Distribution</a:t>
            </a:r>
            <a:endParaRPr lang="en-GB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'📈 Charts &amp; Analysis'!$H$62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'📈 Charts &amp; Analysis'!$G$63:$G$66</c:f>
              <c:strCache>
                <c:ptCount val="4"/>
                <c:pt idx="0">
                  <c:v>Largest (800+)</c:v>
                </c:pt>
                <c:pt idx="1">
                  <c:v>Large (300-800)</c:v>
                </c:pt>
                <c:pt idx="2">
                  <c:v>Medium (100-300)</c:v>
                </c:pt>
                <c:pt idx="3">
                  <c:v>Small (&lt;100)</c:v>
                </c:pt>
              </c:strCache>
            </c:strRef>
          </c:cat>
          <c:val>
            <c:numRef>
              <c:f>'📈 Charts &amp; Analysis'!$H$63:$H$66</c:f>
              <c:numCache>
                <c:formatCode>General</c:formatCode>
                <c:ptCount val="4"/>
                <c:pt idx="0">
                  <c:v>55</c:v>
                </c:pt>
                <c:pt idx="1">
                  <c:v>8</c:v>
                </c:pt>
                <c:pt idx="2">
                  <c:v>9</c:v>
                </c:pt>
                <c:pt idx="3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a21dbb-ce51-4652-bba8-1637f04585e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 panose="020F0502020204030204"/>
              </a:rPr>
              <a:t>Avg Retail Price by Size Group</a:t>
            </a:r>
            <a:endParaRPr lang="en-GB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Charts &amp; Analysis'!$K$62</c:f>
              <c:strCache>
                <c:ptCount val="1"/>
                <c:pt idx="0">
                  <c:v>Avg Price ($)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'📈 Charts &amp; Analysis'!$J$63:$J$66</c:f>
              <c:strCache>
                <c:ptCount val="4"/>
                <c:pt idx="0">
                  <c:v>Largest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'📈 Charts &amp; Analysis'!$K$63:$K$66</c:f>
              <c:numCache>
                <c:formatCode>General</c:formatCode>
                <c:ptCount val="4"/>
                <c:pt idx="0">
                  <c:v>184.262</c:v>
                </c:pt>
                <c:pt idx="1">
                  <c:v>90.185</c:v>
                </c:pt>
                <c:pt idx="2">
                  <c:v>28.33</c:v>
                </c:pt>
                <c:pt idx="3">
                  <c:v>24.99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35467769"/>
        <c:axId val="70336202"/>
      </c:barChart>
      <c:catAx>
        <c:axId val="354677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0336202"/>
        <c:crosses val="autoZero"/>
        <c:auto val="1"/>
        <c:lblAlgn val="ctr"/>
        <c:lblOffset val="100"/>
        <c:noMultiLvlLbl val="0"/>
      </c:catAx>
      <c:valAx>
        <c:axId val="7033620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Avg Price ($)</a:t>
                </a:r>
                <a:endParaRPr lang="en-GB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54677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e15fd3-1ab1-42d0-92bc-a8c210fe1e3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 panose="020F0502020204030204"/>
              </a:rPr>
              <a:t>Cross-Validation R² by Fold</a:t>
            </a:r>
            <a:endParaRPr lang="en-GB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Charts &amp; Analysis'!$N$62</c:f>
              <c:strCache>
                <c:ptCount val="1"/>
                <c:pt idx="0">
                  <c:v>R² Score</c:v>
                </c:pt>
              </c:strCache>
            </c:strRef>
          </c:tx>
          <c:spPr>
            <a:ln w="20160" cap="rnd" cmpd="sng" algn="ctr">
              <a:solidFill>
                <a:srgbClr val="C4001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'📈 Charts &amp; Analysis'!$M$63:$M$67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'📈 Charts &amp; Analysis'!$N$63:$N$67</c:f>
              <c:numCache>
                <c:formatCode>General</c:formatCode>
                <c:ptCount val="5"/>
                <c:pt idx="0">
                  <c:v>0.9039</c:v>
                </c:pt>
                <c:pt idx="1">
                  <c:v>0.6481</c:v>
                </c:pt>
                <c:pt idx="2">
                  <c:v>0.8961</c:v>
                </c:pt>
                <c:pt idx="3">
                  <c:v>0.8755</c:v>
                </c:pt>
                <c:pt idx="4">
                  <c:v>0.9149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'📈 Charts &amp; Analysis'!$O$62</c:f>
              <c:strCache>
                <c:ptCount val="1"/>
                <c:pt idx="0">
                  <c:v>Mean R²</c:v>
                </c:pt>
              </c:strCache>
            </c:strRef>
          </c:tx>
          <c:spPr>
            <a:ln w="15120" cap="rnd" cmpd="sng" algn="ctr">
              <a:solidFill>
                <a:srgbClr val="FFD7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'📈 Charts &amp; Analysis'!$M$63:$M$67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'📈 Charts &amp; Analysis'!$O$63:$O$67</c:f>
              <c:numCache>
                <c:formatCode>General</c:formatCode>
                <c:ptCount val="5"/>
                <c:pt idx="0">
                  <c:v>0.8477</c:v>
                </c:pt>
                <c:pt idx="1">
                  <c:v>0.8477</c:v>
                </c:pt>
                <c:pt idx="2">
                  <c:v>0.8477</c:v>
                </c:pt>
                <c:pt idx="3">
                  <c:v>0.8477</c:v>
                </c:pt>
                <c:pt idx="4">
                  <c:v>0.8477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12390587"/>
        <c:axId val="76785352"/>
      </c:lineChart>
      <c:catAx>
        <c:axId val="123905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6785352"/>
        <c:crosses val="autoZero"/>
        <c:auto val="1"/>
        <c:lblAlgn val="ctr"/>
        <c:lblOffset val="100"/>
        <c:noMultiLvlLbl val="0"/>
      </c:catAx>
      <c:valAx>
        <c:axId val="76785352"/>
        <c:scaling>
          <c:orientation val="minMax"/>
          <c:max val="1"/>
          <c:min val="0.5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R² Score</a:t>
                </a:r>
                <a:endParaRPr lang="en-GB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2390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06b5fb-59c4-4420-a4d0-c0d18a5b02e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 panose="020F0502020204030204"/>
              </a:rPr>
              <a:t>Correlation with Retail Price</a:t>
            </a:r>
            <a:endParaRPr lang="en-GB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Charts &amp; Analysis'!$R$62</c:f>
              <c:strCache>
                <c:ptCount val="1"/>
                <c:pt idx="0">
                  <c:v>|r|</c:v>
                </c:pt>
              </c:strCache>
            </c:strRef>
          </c:tx>
          <c:spPr>
            <a:solidFill>
              <a:srgbClr val="D36A2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'📈 Charts &amp; Analysis'!$Q$63:$Q$66</c:f>
              <c:strCache>
                <c:ptCount val="4"/>
                <c:pt idx="0">
                  <c:v>Pieces</c:v>
                </c:pt>
                <c:pt idx="1">
                  <c:v>Size Group</c:v>
                </c:pt>
                <c:pt idx="2">
                  <c:v>Minifigs</c:v>
                </c:pt>
                <c:pt idx="3">
                  <c:v>Year</c:v>
                </c:pt>
              </c:strCache>
            </c:strRef>
          </c:cat>
          <c:val>
            <c:numRef>
              <c:f>'📈 Charts &amp; Analysis'!$R$63:$R$66</c:f>
              <c:numCache>
                <c:formatCode>General</c:formatCode>
                <c:ptCount val="4"/>
                <c:pt idx="0">
                  <c:v>0.921</c:v>
                </c:pt>
                <c:pt idx="1">
                  <c:v>0.848</c:v>
                </c:pt>
                <c:pt idx="2">
                  <c:v>0.418</c:v>
                </c:pt>
                <c:pt idx="3">
                  <c:v>0.073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2799680"/>
        <c:axId val="99295350"/>
      </c:barChart>
      <c:catAx>
        <c:axId val="82799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9295350"/>
        <c:crosses val="autoZero"/>
        <c:auto val="1"/>
        <c:lblAlgn val="ctr"/>
        <c:lblOffset val="100"/>
        <c:noMultiLvlLbl val="0"/>
      </c:catAx>
      <c:valAx>
        <c:axId val="99295350"/>
        <c:scaling>
          <c:orientation val="minMax"/>
          <c:max val="1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|Correlation (r)|</a:t>
                </a:r>
                <a:endParaRPr lang="en-GB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2799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799fed-1a05-42b9-824f-2423a7ae2d3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306000</xdr:colOff>
      <xdr:row>29</xdr:row>
      <xdr:rowOff>28440</xdr:rowOff>
    </xdr:to>
    <xdr:graphicFrame>
      <xdr:nvGraphicFramePr>
        <xdr:cNvPr id="2" name="Chart 1"/>
        <xdr:cNvGraphicFramePr/>
      </xdr:nvGraphicFramePr>
      <xdr:xfrm>
        <a:off x="0" y="831850"/>
        <a:ext cx="7849235" cy="487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19</xdr:col>
      <xdr:colOff>306000</xdr:colOff>
      <xdr:row>29</xdr:row>
      <xdr:rowOff>28440</xdr:rowOff>
    </xdr:to>
    <xdr:graphicFrame>
      <xdr:nvGraphicFramePr>
        <xdr:cNvPr id="3" name="Chart 2"/>
        <xdr:cNvGraphicFramePr/>
      </xdr:nvGraphicFramePr>
      <xdr:xfrm>
        <a:off x="8382000" y="831850"/>
        <a:ext cx="7849235" cy="487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460375</xdr:colOff>
      <xdr:row>2</xdr:row>
      <xdr:rowOff>210185</xdr:rowOff>
    </xdr:from>
    <xdr:to>
      <xdr:col>31</xdr:col>
      <xdr:colOff>20955</xdr:colOff>
      <xdr:row>22</xdr:row>
      <xdr:rowOff>19685</xdr:rowOff>
    </xdr:to>
    <xdr:graphicFrame>
      <xdr:nvGraphicFramePr>
        <xdr:cNvPr id="4" name="Chart 3"/>
        <xdr:cNvGraphicFramePr/>
      </xdr:nvGraphicFramePr>
      <xdr:xfrm>
        <a:off x="17224375" y="794385"/>
        <a:ext cx="623824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22</xdr:row>
      <xdr:rowOff>0</xdr:rowOff>
    </xdr:from>
    <xdr:to>
      <xdr:col>19</xdr:col>
      <xdr:colOff>306000</xdr:colOff>
      <xdr:row>44</xdr:row>
      <xdr:rowOff>70200</xdr:rowOff>
    </xdr:to>
    <xdr:graphicFrame>
      <xdr:nvGraphicFramePr>
        <xdr:cNvPr id="5" name="Chart 4"/>
        <xdr:cNvGraphicFramePr/>
      </xdr:nvGraphicFramePr>
      <xdr:xfrm>
        <a:off x="8382000" y="4394200"/>
        <a:ext cx="7849235" cy="418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9</xdr:col>
      <xdr:colOff>306000</xdr:colOff>
      <xdr:row>62</xdr:row>
      <xdr:rowOff>127440</xdr:rowOff>
    </xdr:to>
    <xdr:graphicFrame>
      <xdr:nvGraphicFramePr>
        <xdr:cNvPr id="6" name="Chart 5"/>
        <xdr:cNvGraphicFramePr/>
      </xdr:nvGraphicFramePr>
      <xdr:xfrm>
        <a:off x="0" y="7772400"/>
        <a:ext cx="7849235" cy="417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40</xdr:row>
      <xdr:rowOff>0</xdr:rowOff>
    </xdr:from>
    <xdr:to>
      <xdr:col>19</xdr:col>
      <xdr:colOff>306000</xdr:colOff>
      <xdr:row>62</xdr:row>
      <xdr:rowOff>127440</xdr:rowOff>
    </xdr:to>
    <xdr:graphicFrame>
      <xdr:nvGraphicFramePr>
        <xdr:cNvPr id="7" name="Chart 6"/>
        <xdr:cNvGraphicFramePr/>
      </xdr:nvGraphicFramePr>
      <xdr:xfrm>
        <a:off x="8382000" y="7772400"/>
        <a:ext cx="7849235" cy="417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hemeTable" displayName="ThemeTable" ref="A3:J47" totalsRowShown="0">
  <autoFilter xmlns:etc="http://www.wps.cn/officeDocument/2017/etCustomData" ref="A3:J47" etc:filterBottomFollowUsedRange="0"/>
  <tableColumns count="10">
    <tableColumn id="1" name="Theme"/>
    <tableColumn id="2" name="Sets (n)"/>
    <tableColumn id="3" name="Avg Retail ($)"/>
    <tableColumn id="4" name="Avg Pieces"/>
    <tableColumn id="5" name="Avg Minifigs"/>
    <tableColumn id="6" name="Price/Piece ($)"/>
    <tableColumn id="7" name="Avg Sec Mkt ($)"/>
    <tableColumn id="8" name="ROI New (%)"/>
    <tableColumn id="9" name="Power Score"/>
    <tableColumn id="10" name="Categor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PredictionsTable" displayName="PredictionsTable" ref="A3:O77" totalsRowShown="0">
  <autoFilter xmlns:etc="http://www.wps.cn/officeDocument/2017/etCustomData" ref="A3:O77" etc:filterBottomFollowUsedRange="0"/>
  <tableColumns count="15">
    <tableColumn id="1" name="Set ID"/>
    <tableColumn id="2" name="Theme"/>
    <tableColumn id="3" name="Set Name"/>
    <tableColumn id="4" name="Year"/>
    <tableColumn id="5" name="Pieces"/>
    <tableColumn id="6" name="Minifigs"/>
    <tableColumn id="7" name="Size Group"/>
    <tableColumn id="8" name="Retail ($)"/>
    <tableColumn id="9" name="Sec.Mkt New ($)"/>
    <tableColumn id="10" name="Sec.Mkt Used ($)"/>
    <tableColumn id="11" name="Predicted ($)"/>
    <tableColumn id="12" name="Residual ($)"/>
    <tableColumn id="13" name="% Error"/>
    <tableColumn id="14" name="ROI New (%)"/>
    <tableColumn id="15" name="Value 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showGridLines="0" tabSelected="1" topLeftCell="E1" workbookViewId="0">
      <selection activeCell="R3" sqref="R3"/>
    </sheetView>
  </sheetViews>
  <sheetFormatPr defaultColWidth="8.69090909090909" defaultRowHeight="14.5"/>
  <cols>
    <col min="1" max="1" width="16" style="1" customWidth="1"/>
    <col min="2" max="2" width="10" style="1" customWidth="1"/>
    <col min="3" max="4" width="11" style="1" customWidth="1"/>
    <col min="5" max="5" width="7" style="1" customWidth="1"/>
    <col min="6" max="6" width="2" style="1" customWidth="1"/>
    <col min="7" max="7" width="18" style="1" customWidth="1"/>
    <col min="8" max="8" width="11" style="1" customWidth="1"/>
    <col min="9" max="9" width="12" style="1" customWidth="1"/>
    <col min="10" max="10" width="22" style="1" customWidth="1"/>
    <col min="11" max="11" width="12" style="1" customWidth="1"/>
    <col min="12" max="13" width="10" style="1" customWidth="1"/>
    <col min="14" max="14" width="12" style="1" customWidth="1"/>
    <col min="15" max="15" width="22" style="1" customWidth="1"/>
  </cols>
  <sheetData>
    <row r="1" ht="6" customHeight="1"/>
    <row r="2" ht="79.5" customHeight="1" spans="1:15">
      <c r="A2" s="101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ht="15.75" customHeight="1" spans="1:15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12"/>
      <c r="M3" s="112"/>
      <c r="N3" s="112"/>
      <c r="O3" s="112"/>
    </row>
    <row r="4" ht="15.75" customHeight="1" spans="1:15">
      <c r="A4" s="102" t="s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</row>
    <row r="5" ht="7.5" customHeight="1"/>
    <row r="6" ht="13.5" customHeight="1" spans="1:15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</row>
    <row r="7" ht="15.75" customHeight="1" spans="1:15">
      <c r="A7" s="104" t="s">
        <v>3</v>
      </c>
      <c r="B7" s="104"/>
      <c r="C7" s="104"/>
      <c r="D7" s="104" t="s">
        <v>4</v>
      </c>
      <c r="E7" s="104"/>
      <c r="F7" s="104"/>
      <c r="G7" s="104" t="s">
        <v>5</v>
      </c>
      <c r="H7" s="104"/>
      <c r="I7" s="104"/>
      <c r="J7" s="104" t="s">
        <v>6</v>
      </c>
      <c r="K7" s="104"/>
      <c r="L7" s="104"/>
      <c r="M7" s="104" t="s">
        <v>7</v>
      </c>
      <c r="N7" s="104"/>
      <c r="O7" s="104"/>
    </row>
    <row r="8" ht="36" customHeight="1" spans="1:15">
      <c r="A8" s="105">
        <f>'📐 Model Performance'!B11</f>
        <v>2322</v>
      </c>
      <c r="B8" s="105"/>
      <c r="C8" s="105"/>
      <c r="D8" s="105">
        <f>'📐 Model Performance'!B5</f>
        <v>0.8477</v>
      </c>
      <c r="E8" s="105"/>
      <c r="F8" s="105"/>
      <c r="G8" s="105">
        <f>'📐 Model Performance'!B7</f>
        <v>7.99</v>
      </c>
      <c r="H8" s="105"/>
      <c r="I8" s="105"/>
      <c r="J8" s="105">
        <f>MEDIAN('📋 Data &amp; Predictions'!$N$4:$N$77)</f>
        <v>84.0356516385799</v>
      </c>
      <c r="K8" s="105"/>
      <c r="L8" s="105"/>
      <c r="M8" s="105">
        <f>'📐 Model Performance'!B5</f>
        <v>0.8477</v>
      </c>
      <c r="N8" s="105"/>
      <c r="O8" s="105"/>
    </row>
    <row r="9" ht="13.5" customHeight="1" spans="1:15">
      <c r="A9" s="106" t="s">
        <v>8</v>
      </c>
      <c r="B9" s="106"/>
      <c r="C9" s="106"/>
      <c r="D9" s="106" t="s">
        <v>9</v>
      </c>
      <c r="E9" s="106"/>
      <c r="F9" s="106"/>
      <c r="G9" s="106" t="s">
        <v>10</v>
      </c>
      <c r="H9" s="106"/>
      <c r="I9" s="106"/>
      <c r="J9" s="106" t="s">
        <v>11</v>
      </c>
      <c r="K9" s="106"/>
      <c r="L9" s="106"/>
      <c r="M9" s="106" t="s">
        <v>12</v>
      </c>
      <c r="N9" s="106"/>
      <c r="O9" s="106"/>
    </row>
    <row r="10" ht="6" customHeight="1" spans="1:15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1" ht="9.75" customHeight="1"/>
    <row r="12" ht="19.5" customHeight="1" spans="1:15">
      <c r="A12" s="13" t="s">
        <v>13</v>
      </c>
      <c r="B12" s="13"/>
      <c r="C12" s="13"/>
      <c r="D12" s="13"/>
      <c r="E12" s="13"/>
      <c r="F12" s="13"/>
      <c r="G12" s="100" t="s">
        <v>14</v>
      </c>
      <c r="H12" s="100"/>
      <c r="I12" s="100"/>
      <c r="J12" s="100"/>
      <c r="K12" s="113" t="s">
        <v>15</v>
      </c>
      <c r="L12" s="113"/>
      <c r="M12" s="113"/>
      <c r="N12" s="113"/>
      <c r="O12" s="113"/>
    </row>
    <row r="13" ht="18" customHeight="1" spans="1:15">
      <c r="A13" s="108" t="s">
        <v>16</v>
      </c>
      <c r="B13" s="108" t="s">
        <v>17</v>
      </c>
      <c r="C13" s="108" t="s">
        <v>18</v>
      </c>
      <c r="D13" s="108" t="s">
        <v>19</v>
      </c>
      <c r="E13" s="108" t="s">
        <v>20</v>
      </c>
      <c r="G13" s="108" t="s">
        <v>21</v>
      </c>
      <c r="H13" s="108" t="s">
        <v>22</v>
      </c>
      <c r="I13" s="108" t="s">
        <v>23</v>
      </c>
      <c r="J13" s="108" t="s">
        <v>24</v>
      </c>
      <c r="K13" s="114" t="s">
        <v>25</v>
      </c>
      <c r="L13" s="114" t="s">
        <v>26</v>
      </c>
      <c r="M13" s="114" t="s">
        <v>27</v>
      </c>
      <c r="N13" s="114" t="s">
        <v>28</v>
      </c>
      <c r="O13" s="114" t="s">
        <v>29</v>
      </c>
    </row>
    <row r="14" ht="15" customHeight="1" spans="1:15">
      <c r="A14" s="5" t="s">
        <v>30</v>
      </c>
      <c r="B14" s="6">
        <f>VLOOKUP("Super Heroes",'🎯 Theme Analysis'!$A:$I,3,FALSE())</f>
        <v>31.3</v>
      </c>
      <c r="C14" s="6">
        <f>VLOOKUP("Super Heroes",'🎯 Theme Analysis'!$A:$I,7,FALSE())</f>
        <v>180</v>
      </c>
      <c r="D14" s="7">
        <f>VLOOKUP("Super Heroes",'🎯 Theme Analysis'!$A:$I,8,FALSE())</f>
        <v>475.079872204473</v>
      </c>
      <c r="E14" s="6">
        <f t="shared" ref="E14:E23" si="0">RANK(D14,$D$14:$D$23,0)</f>
        <v>2</v>
      </c>
      <c r="G14" s="5" t="s">
        <v>31</v>
      </c>
      <c r="H14" s="6">
        <f>'📐 Model Performance'!B28</f>
        <v>0.921</v>
      </c>
      <c r="I14" s="6" t="s">
        <v>32</v>
      </c>
      <c r="J14" s="6" t="s">
        <v>33</v>
      </c>
      <c r="K14" s="6" t="s">
        <v>34</v>
      </c>
      <c r="L14" s="6">
        <f>'📐 Model Performance'!B12</f>
        <v>0.9039</v>
      </c>
      <c r="M14" s="6" t="str">
        <f t="shared" ref="M14:M19" si="1">IF(L14&gt;=0.9,"Excellent",IF(L14&gt;=0.8,"Strong","Moderate"))</f>
        <v>Excellent</v>
      </c>
      <c r="N14" s="7" t="str">
        <f t="shared" ref="N14:N19" si="2">IF(L14&gt;=0.8,"✓ STRONG","⚠ MODERATE")</f>
        <v>✓ STRONG</v>
      </c>
      <c r="O14" s="6" t="s">
        <v>35</v>
      </c>
    </row>
    <row r="15" ht="15" customHeight="1" spans="1:15">
      <c r="A15" s="8" t="s">
        <v>36</v>
      </c>
      <c r="B15" s="9">
        <f>VLOOKUP("Castle",'🎯 Theme Analysis'!$A:$I,3,FALSE())</f>
        <v>68.49</v>
      </c>
      <c r="C15" s="9">
        <f>VLOOKUP("Castle",'🎯 Theme Analysis'!$A:$I,7,FALSE())</f>
        <v>253.305</v>
      </c>
      <c r="D15" s="10">
        <f>VLOOKUP("Castle",'🎯 Theme Analysis'!$A:$I,8,FALSE())</f>
        <v>269.842312746386</v>
      </c>
      <c r="E15" s="9">
        <f t="shared" si="0"/>
        <v>4</v>
      </c>
      <c r="G15" s="8" t="s">
        <v>37</v>
      </c>
      <c r="H15" s="9">
        <f>'📐 Model Performance'!B29</f>
        <v>0.848</v>
      </c>
      <c r="I15" s="9" t="s">
        <v>32</v>
      </c>
      <c r="J15" s="9" t="s">
        <v>33</v>
      </c>
      <c r="K15" s="9" t="s">
        <v>38</v>
      </c>
      <c r="L15" s="9">
        <f>'📐 Model Performance'!B13</f>
        <v>0.6481</v>
      </c>
      <c r="M15" s="9" t="str">
        <f t="shared" si="1"/>
        <v>Moderate</v>
      </c>
      <c r="N15" s="11" t="str">
        <f t="shared" si="2"/>
        <v>⚠ MODERATE</v>
      </c>
      <c r="O15" s="9" t="s">
        <v>39</v>
      </c>
    </row>
    <row r="16" ht="15" customHeight="1" spans="1:15">
      <c r="A16" s="5" t="s">
        <v>40</v>
      </c>
      <c r="B16" s="6">
        <f>VLOOKUP("Advanced Models",'🎯 Theme Analysis'!$A:$I,3,FALSE())</f>
        <v>213.615</v>
      </c>
      <c r="C16" s="6">
        <f>VLOOKUP("Advanced Models",'🎯 Theme Analysis'!$A:$I,7,FALSE())</f>
        <v>1472.93625</v>
      </c>
      <c r="D16" s="12">
        <f>VLOOKUP("Advanced Models",'🎯 Theme Analysis'!$A:$I,8,FALSE())</f>
        <v>589.528474124008</v>
      </c>
      <c r="E16" s="6">
        <f t="shared" si="0"/>
        <v>1</v>
      </c>
      <c r="G16" s="5" t="s">
        <v>41</v>
      </c>
      <c r="H16" s="6">
        <f>'📐 Model Performance'!B30</f>
        <v>0.418</v>
      </c>
      <c r="I16" s="6" t="s">
        <v>42</v>
      </c>
      <c r="J16" s="6" t="s">
        <v>33</v>
      </c>
      <c r="K16" s="6" t="s">
        <v>43</v>
      </c>
      <c r="L16" s="6">
        <f>'📐 Model Performance'!B14</f>
        <v>0.8961</v>
      </c>
      <c r="M16" s="6" t="str">
        <f t="shared" si="1"/>
        <v>Strong</v>
      </c>
      <c r="N16" s="7" t="str">
        <f t="shared" si="2"/>
        <v>✓ STRONG</v>
      </c>
      <c r="O16" s="6" t="s">
        <v>44</v>
      </c>
    </row>
    <row r="17" ht="15" customHeight="1" spans="1:15">
      <c r="A17" s="8" t="s">
        <v>45</v>
      </c>
      <c r="B17" s="9">
        <f>VLOOKUP("Harry Potter",'🎯 Theme Analysis'!$A:$I,3,FALSE())</f>
        <v>133.323333333333</v>
      </c>
      <c r="C17" s="9">
        <f>VLOOKUP("Harry Potter",'🎯 Theme Analysis'!$A:$I,7,FALSE())</f>
        <v>375.833333333333</v>
      </c>
      <c r="D17" s="11">
        <f>VLOOKUP("Harry Potter",'🎯 Theme Analysis'!$A:$I,8,FALSE())</f>
        <v>181.896142210666</v>
      </c>
      <c r="E17" s="9">
        <f t="shared" si="0"/>
        <v>6</v>
      </c>
      <c r="G17" s="8" t="s">
        <v>46</v>
      </c>
      <c r="H17" s="9">
        <f>'📐 Model Performance'!B31</f>
        <v>0.073</v>
      </c>
      <c r="I17" s="9" t="s">
        <v>47</v>
      </c>
      <c r="J17" s="9" t="s">
        <v>33</v>
      </c>
      <c r="K17" s="9" t="s">
        <v>48</v>
      </c>
      <c r="L17" s="9">
        <f>'📐 Model Performance'!B15</f>
        <v>0.8755</v>
      </c>
      <c r="M17" s="9" t="str">
        <f t="shared" si="1"/>
        <v>Strong</v>
      </c>
      <c r="N17" s="10" t="str">
        <f t="shared" si="2"/>
        <v>✓ STRONG</v>
      </c>
      <c r="O17" s="9" t="s">
        <v>44</v>
      </c>
    </row>
    <row r="18" ht="15" customHeight="1" spans="1:15">
      <c r="A18" s="5" t="s">
        <v>49</v>
      </c>
      <c r="B18" s="6">
        <f>VLOOKUP("Pirates",'🎯 Theme Analysis'!$A:$I,3,FALSE())</f>
        <v>138.99</v>
      </c>
      <c r="C18" s="6">
        <f>VLOOKUP("Pirates",'🎯 Theme Analysis'!$A:$I,7,FALSE())</f>
        <v>534.633333333333</v>
      </c>
      <c r="D18" s="12">
        <f>VLOOKUP("Pirates",'🎯 Theme Analysis'!$A:$I,8,FALSE())</f>
        <v>284.65597045351</v>
      </c>
      <c r="E18" s="6">
        <f t="shared" si="0"/>
        <v>3</v>
      </c>
      <c r="K18" s="6" t="s">
        <v>50</v>
      </c>
      <c r="L18" s="6">
        <f>'📐 Model Performance'!B16</f>
        <v>0.9149</v>
      </c>
      <c r="M18" s="6" t="str">
        <f t="shared" si="1"/>
        <v>Excellent</v>
      </c>
      <c r="N18" s="7" t="str">
        <f t="shared" si="2"/>
        <v>✓ STRONG</v>
      </c>
      <c r="O18" s="6" t="s">
        <v>35</v>
      </c>
    </row>
    <row r="19" ht="15" customHeight="1" spans="1:15">
      <c r="A19" s="8" t="s">
        <v>51</v>
      </c>
      <c r="B19" s="9">
        <f>VLOOKUP("Batman",'🎯 Theme Analysis'!$A:$I,3,FALSE())</f>
        <v>89.99</v>
      </c>
      <c r="C19" s="9">
        <f>VLOOKUP("Batman",'🎯 Theme Analysis'!$A:$I,7,FALSE())</f>
        <v>223.332</v>
      </c>
      <c r="D19" s="11">
        <f>VLOOKUP("Batman",'🎯 Theme Analysis'!$A:$I,8,FALSE())</f>
        <v>148.174241582398</v>
      </c>
      <c r="E19" s="9">
        <f t="shared" si="0"/>
        <v>7</v>
      </c>
      <c r="G19" s="100" t="s">
        <v>52</v>
      </c>
      <c r="H19" s="100"/>
      <c r="I19" s="100"/>
      <c r="J19" s="100"/>
      <c r="K19" s="115" t="s">
        <v>53</v>
      </c>
      <c r="L19" s="115">
        <f>'📐 Model Performance'!B5</f>
        <v>0.8477</v>
      </c>
      <c r="M19" s="115" t="str">
        <f t="shared" si="1"/>
        <v>Strong</v>
      </c>
      <c r="N19" s="116" t="str">
        <f t="shared" si="2"/>
        <v>✓ STRONG</v>
      </c>
      <c r="O19" s="115" t="s">
        <v>54</v>
      </c>
    </row>
    <row r="20" ht="19.5" customHeight="1" spans="1:15">
      <c r="A20" s="5" t="s">
        <v>55</v>
      </c>
      <c r="B20" s="6">
        <f>VLOOKUP("Bionicle",'🎯 Theme Analysis'!$A:$I,3,FALSE())</f>
        <v>26.6566666666667</v>
      </c>
      <c r="C20" s="6">
        <f>VLOOKUP("Bionicle",'🎯 Theme Analysis'!$A:$I,7,FALSE())</f>
        <v>92.9166666666667</v>
      </c>
      <c r="D20" s="12">
        <f>VLOOKUP("Bionicle",'🎯 Theme Analysis'!$A:$I,8,FALSE())</f>
        <v>248.568213079905</v>
      </c>
      <c r="E20" s="6">
        <f t="shared" si="0"/>
        <v>5</v>
      </c>
      <c r="G20" s="108" t="s">
        <v>56</v>
      </c>
      <c r="H20" s="108" t="s">
        <v>57</v>
      </c>
      <c r="I20" s="108" t="s">
        <v>58</v>
      </c>
      <c r="J20" s="108" t="s">
        <v>59</v>
      </c>
      <c r="K20" s="113" t="s">
        <v>60</v>
      </c>
      <c r="L20" s="113"/>
      <c r="M20" s="113"/>
      <c r="N20" s="113"/>
      <c r="O20" s="113"/>
    </row>
    <row r="21" ht="18" customHeight="1" spans="1:15">
      <c r="A21" s="8" t="s">
        <v>61</v>
      </c>
      <c r="B21" s="9">
        <f>VLOOKUP("Monster Fighters",'🎯 Theme Analysis'!$A:$I,3,FALSE())</f>
        <v>179.99</v>
      </c>
      <c r="C21" s="9">
        <f>VLOOKUP("Monster Fighters",'🎯 Theme Analysis'!$A:$I,7,FALSE())</f>
        <v>304.13</v>
      </c>
      <c r="D21" s="11">
        <f>VLOOKUP("Monster Fighters",'🎯 Theme Analysis'!$A:$I,8,FALSE())</f>
        <v>68.97049836102</v>
      </c>
      <c r="E21" s="9">
        <f t="shared" si="0"/>
        <v>8</v>
      </c>
      <c r="G21" s="5" t="s">
        <v>62</v>
      </c>
      <c r="H21" s="109">
        <f>'🧮 Price Calculator'!$B$30</f>
        <v>35.3652</v>
      </c>
      <c r="I21" s="6" t="s">
        <v>63</v>
      </c>
      <c r="J21" s="6" t="s">
        <v>64</v>
      </c>
      <c r="K21" s="114" t="s">
        <v>37</v>
      </c>
      <c r="L21" s="114" t="s">
        <v>65</v>
      </c>
      <c r="M21" s="114" t="s">
        <v>66</v>
      </c>
      <c r="N21" s="114" t="s">
        <v>67</v>
      </c>
      <c r="O21" s="114" t="s">
        <v>68</v>
      </c>
    </row>
    <row r="22" ht="15" customHeight="1" spans="1:15">
      <c r="A22" s="5" t="s">
        <v>69</v>
      </c>
      <c r="B22" s="6">
        <f>VLOOKUP("Star Wars",'🎯 Theme Analysis'!$A:$I,3,FALSE())</f>
        <v>257.406666666667</v>
      </c>
      <c r="C22" s="6">
        <f>VLOOKUP("Star Wars",'🎯 Theme Analysis'!$A:$I,7,FALSE())</f>
        <v>407.930833333333</v>
      </c>
      <c r="D22" s="12">
        <f>VLOOKUP("Star Wars",'🎯 Theme Analysis'!$A:$I,8,FALSE())</f>
        <v>58.4771826681516</v>
      </c>
      <c r="E22" s="6">
        <f t="shared" si="0"/>
        <v>9</v>
      </c>
      <c r="G22" s="8" t="s">
        <v>70</v>
      </c>
      <c r="H22" s="110">
        <f>'🧮 Price Calculator'!$B$31</f>
        <v>0.0695</v>
      </c>
      <c r="I22" s="9" t="s">
        <v>71</v>
      </c>
      <c r="J22" s="9" t="s">
        <v>72</v>
      </c>
      <c r="K22" s="6" t="s">
        <v>73</v>
      </c>
      <c r="L22" s="6" t="s">
        <v>74</v>
      </c>
      <c r="M22" s="6">
        <f>'📈 Charts &amp; Analysis'!H63</f>
        <v>55</v>
      </c>
      <c r="N22" s="6">
        <f>'📈 Charts &amp; Analysis'!K63</f>
        <v>184.262</v>
      </c>
      <c r="O22" s="6">
        <f>M22/SUM($M$22:$M$25)</f>
        <v>0.743243243243243</v>
      </c>
    </row>
    <row r="23" ht="15" customHeight="1" spans="1:15">
      <c r="A23" s="8" t="s">
        <v>75</v>
      </c>
      <c r="B23" s="9">
        <f>VLOOKUP("City",'🎯 Theme Analysis'!$A:$I,3,FALSE())</f>
        <v>134.99</v>
      </c>
      <c r="C23" s="9">
        <f>VLOOKUP("City",'🎯 Theme Analysis'!$A:$I,7,FALSE())</f>
        <v>157.112</v>
      </c>
      <c r="D23" s="111">
        <f>VLOOKUP("City",'🎯 Theme Analysis'!$A:$I,8,FALSE())</f>
        <v>16.3878805837469</v>
      </c>
      <c r="E23" s="9">
        <f t="shared" si="0"/>
        <v>10</v>
      </c>
      <c r="G23" s="5" t="s">
        <v>76</v>
      </c>
      <c r="H23" s="109">
        <f>'🧮 Price Calculator'!$B$32</f>
        <v>1.6686</v>
      </c>
      <c r="I23" s="6" t="s">
        <v>77</v>
      </c>
      <c r="J23" s="6" t="s">
        <v>78</v>
      </c>
      <c r="K23" s="9" t="s">
        <v>79</v>
      </c>
      <c r="L23" s="9" t="s">
        <v>80</v>
      </c>
      <c r="M23" s="9">
        <f>'📈 Charts &amp; Analysis'!H64</f>
        <v>8</v>
      </c>
      <c r="N23" s="9">
        <f>'📈 Charts &amp; Analysis'!K64</f>
        <v>90.185</v>
      </c>
      <c r="O23" s="9">
        <f>M23/SUM($M$22:$M$25)</f>
        <v>0.108108108108108</v>
      </c>
    </row>
    <row r="24" ht="15" customHeight="1" spans="7:15">
      <c r="G24" s="8" t="s">
        <v>81</v>
      </c>
      <c r="H24" s="110">
        <f>'🧮 Price Calculator'!$B$33</f>
        <v>-8.1964</v>
      </c>
      <c r="I24" s="9" t="s">
        <v>82</v>
      </c>
      <c r="J24" s="9" t="s">
        <v>83</v>
      </c>
      <c r="K24" s="6" t="s">
        <v>84</v>
      </c>
      <c r="L24" s="6" t="s">
        <v>85</v>
      </c>
      <c r="M24" s="6">
        <f>'📈 Charts &amp; Analysis'!H65</f>
        <v>9</v>
      </c>
      <c r="N24" s="6">
        <f>'📈 Charts &amp; Analysis'!K65</f>
        <v>28.33</v>
      </c>
      <c r="O24" s="6">
        <f>M24/SUM($M$22:$M$25)</f>
        <v>0.121621621621622</v>
      </c>
    </row>
    <row r="25" ht="15" customHeight="1" spans="7:15">
      <c r="G25" s="5" t="s">
        <v>86</v>
      </c>
      <c r="H25" s="109">
        <f>'🧮 Price Calculator'!$B$34</f>
        <v>0.1164</v>
      </c>
      <c r="I25" s="6" t="s">
        <v>87</v>
      </c>
      <c r="J25" s="6" t="s">
        <v>88</v>
      </c>
      <c r="K25" s="9" t="s">
        <v>89</v>
      </c>
      <c r="L25" s="9" t="s">
        <v>90</v>
      </c>
      <c r="M25" s="9">
        <f>'📈 Charts &amp; Analysis'!H66</f>
        <v>2</v>
      </c>
      <c r="N25" s="9">
        <f>'📈 Charts &amp; Analysis'!K66</f>
        <v>24.99</v>
      </c>
      <c r="O25" s="9">
        <f>M25/SUM($M$22:$M$25)</f>
        <v>0.027027027027027</v>
      </c>
    </row>
    <row r="28" ht="7.5" customHeight="1"/>
    <row r="29" ht="19.5" customHeight="1" spans="1:15">
      <c r="A29" s="45" t="s">
        <v>91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</row>
    <row r="30" ht="13.5" customHeight="1" spans="1:15">
      <c r="A30" s="106" t="s">
        <v>92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</row>
  </sheetData>
  <mergeCells count="35">
    <mergeCell ref="A2:O2"/>
    <mergeCell ref="A3:K3"/>
    <mergeCell ref="A4:O4"/>
    <mergeCell ref="A6:C6"/>
    <mergeCell ref="D6:F6"/>
    <mergeCell ref="G6:I6"/>
    <mergeCell ref="J6:L6"/>
    <mergeCell ref="M6:O6"/>
    <mergeCell ref="A7:C7"/>
    <mergeCell ref="D7:F7"/>
    <mergeCell ref="G7:I7"/>
    <mergeCell ref="J7:L7"/>
    <mergeCell ref="M7:O7"/>
    <mergeCell ref="A8:C8"/>
    <mergeCell ref="D8:F8"/>
    <mergeCell ref="G8:I8"/>
    <mergeCell ref="J8:L8"/>
    <mergeCell ref="M8:O8"/>
    <mergeCell ref="A9:C9"/>
    <mergeCell ref="D9:F9"/>
    <mergeCell ref="G9:I9"/>
    <mergeCell ref="J9:L9"/>
    <mergeCell ref="M9:O9"/>
    <mergeCell ref="A10:C10"/>
    <mergeCell ref="D10:F10"/>
    <mergeCell ref="G10:I10"/>
    <mergeCell ref="J10:L10"/>
    <mergeCell ref="M10:O10"/>
    <mergeCell ref="A12:F12"/>
    <mergeCell ref="G12:J12"/>
    <mergeCell ref="K12:O12"/>
    <mergeCell ref="G19:J19"/>
    <mergeCell ref="K20:O20"/>
    <mergeCell ref="A29:O29"/>
    <mergeCell ref="A30:O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4"/>
  <sheetViews>
    <sheetView showGridLines="0" zoomScale="51" zoomScaleNormal="51" topLeftCell="A54" workbookViewId="0">
      <selection activeCell="V32" sqref="V32"/>
    </sheetView>
  </sheetViews>
  <sheetFormatPr defaultColWidth="8.69090909090909" defaultRowHeight="14.5"/>
  <cols>
    <col min="1" max="20" width="12" style="1" customWidth="1"/>
  </cols>
  <sheetData>
    <row r="1" ht="31.5" customHeight="1" spans="1:20">
      <c r="A1" s="34" t="s">
        <v>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3" ht="19.5" customHeight="1" spans="1:20">
      <c r="A3" s="13" t="s">
        <v>94</v>
      </c>
      <c r="B3" s="13"/>
      <c r="C3" s="13"/>
      <c r="D3" s="13"/>
      <c r="E3" s="13"/>
      <c r="F3" s="13"/>
      <c r="G3" s="13"/>
      <c r="H3" s="13"/>
      <c r="I3" s="13"/>
      <c r="K3" s="100" t="s">
        <v>95</v>
      </c>
      <c r="L3" s="100"/>
      <c r="M3" s="100"/>
      <c r="N3" s="100"/>
      <c r="O3" s="100"/>
      <c r="P3" s="100"/>
      <c r="Q3" s="100"/>
      <c r="R3" s="100"/>
      <c r="S3" s="100"/>
      <c r="T3" s="100"/>
    </row>
    <row r="22" ht="19.5" customHeight="1" spans="1:20">
      <c r="A22" s="97" t="s">
        <v>96</v>
      </c>
      <c r="B22" s="97"/>
      <c r="C22" s="97"/>
      <c r="D22" s="97"/>
      <c r="E22" s="97"/>
      <c r="F22" s="97"/>
      <c r="G22" s="97"/>
      <c r="H22" s="97"/>
      <c r="I22" s="97"/>
      <c r="K22" s="3" t="s">
        <v>97</v>
      </c>
      <c r="L22" s="3"/>
      <c r="M22" s="3"/>
      <c r="N22" s="3"/>
      <c r="O22" s="3"/>
      <c r="P22" s="3"/>
      <c r="Q22" s="3"/>
      <c r="R22" s="3"/>
      <c r="S22" s="3"/>
      <c r="T22" s="3"/>
    </row>
    <row r="40" ht="19.5" customHeight="1" spans="1:20">
      <c r="A40" s="98" t="s">
        <v>98</v>
      </c>
      <c r="B40" s="98"/>
      <c r="C40" s="98"/>
      <c r="D40" s="98"/>
      <c r="E40" s="98"/>
      <c r="F40" s="98"/>
      <c r="G40" s="98"/>
      <c r="H40" s="98"/>
      <c r="I40" s="98"/>
      <c r="K40" s="100" t="s">
        <v>99</v>
      </c>
      <c r="L40" s="100"/>
      <c r="M40" s="100"/>
      <c r="N40" s="100"/>
      <c r="O40" s="100"/>
      <c r="P40" s="100"/>
      <c r="Q40" s="100"/>
      <c r="R40" s="100"/>
      <c r="S40" s="100"/>
      <c r="T40" s="100"/>
    </row>
    <row r="62" ht="14.25" customHeight="1" spans="1:18">
      <c r="A62" s="99" t="s">
        <v>16</v>
      </c>
      <c r="B62" s="99" t="s">
        <v>100</v>
      </c>
      <c r="D62" s="99" t="s">
        <v>16</v>
      </c>
      <c r="E62" s="99" t="s">
        <v>101</v>
      </c>
      <c r="G62" s="99" t="s">
        <v>37</v>
      </c>
      <c r="H62" s="99" t="s">
        <v>102</v>
      </c>
      <c r="J62" s="99" t="s">
        <v>37</v>
      </c>
      <c r="K62" s="99" t="s">
        <v>103</v>
      </c>
      <c r="M62" s="99" t="s">
        <v>25</v>
      </c>
      <c r="N62" s="99" t="s">
        <v>26</v>
      </c>
      <c r="O62" s="99" t="s">
        <v>104</v>
      </c>
      <c r="Q62" s="99" t="s">
        <v>105</v>
      </c>
      <c r="R62" s="99" t="s">
        <v>106</v>
      </c>
    </row>
    <row r="63" ht="14.25" customHeight="1" spans="1:18">
      <c r="A63" s="1" t="s">
        <v>30</v>
      </c>
      <c r="B63" s="1">
        <f>VLOOKUP("Super Heroes",'🎯 Theme Analysis'!$A:$I,8,FALSE())</f>
        <v>475.079872204473</v>
      </c>
      <c r="D63" s="1" t="s">
        <v>107</v>
      </c>
      <c r="E63" s="1">
        <f>VLOOKUP("Advanced Models",'🎯 Theme Analysis'!$A:$I,3,FALSE())</f>
        <v>213.615</v>
      </c>
      <c r="G63" s="1" t="s">
        <v>108</v>
      </c>
      <c r="H63" s="1">
        <f>COUNTIF('📋 Data &amp; Predictions'!$G$4:$G$77,1)</f>
        <v>55</v>
      </c>
      <c r="J63" s="1" t="s">
        <v>109</v>
      </c>
      <c r="K63" s="1">
        <f>AVERAGEIF('📋 Data &amp; Predictions'!$G$4:$G$77,1,'📋 Data &amp; Predictions'!$H$4:$H$77)</f>
        <v>184.262</v>
      </c>
      <c r="M63" s="1" t="s">
        <v>34</v>
      </c>
      <c r="N63" s="1">
        <f>'📐 Model Performance'!B12</f>
        <v>0.9039</v>
      </c>
      <c r="O63" s="1">
        <f>'📐 Model Performance'!B5</f>
        <v>0.8477</v>
      </c>
      <c r="Q63" s="1" t="s">
        <v>110</v>
      </c>
      <c r="R63" s="1">
        <f>'📐 Model Performance'!B28</f>
        <v>0.921</v>
      </c>
    </row>
    <row r="64" ht="14.25" customHeight="1" spans="1:18">
      <c r="A64" s="1" t="s">
        <v>36</v>
      </c>
      <c r="B64" s="1">
        <f>VLOOKUP("Castle",'🎯 Theme Analysis'!$A:$I,8,FALSE())</f>
        <v>269.842312746386</v>
      </c>
      <c r="D64" s="1" t="s">
        <v>111</v>
      </c>
      <c r="E64" s="1">
        <f>VLOOKUP("Architecture",'🎯 Theme Analysis'!$A:$I,3,FALSE())</f>
        <v>174.99</v>
      </c>
      <c r="G64" s="1" t="s">
        <v>112</v>
      </c>
      <c r="H64" s="1">
        <f>COUNTIF('📋 Data &amp; Predictions'!$G$4:$G$77,2)</f>
        <v>8</v>
      </c>
      <c r="J64" s="1" t="s">
        <v>113</v>
      </c>
      <c r="K64" s="1">
        <f>AVERAGEIF('📋 Data &amp; Predictions'!$G$4:$G$77,2,'📋 Data &amp; Predictions'!$H$4:$H$77)</f>
        <v>90.185</v>
      </c>
      <c r="M64" s="1" t="s">
        <v>38</v>
      </c>
      <c r="N64" s="1">
        <f>'📐 Model Performance'!B13</f>
        <v>0.6481</v>
      </c>
      <c r="O64" s="1">
        <f>'📐 Model Performance'!B5</f>
        <v>0.8477</v>
      </c>
      <c r="Q64" s="1" t="s">
        <v>37</v>
      </c>
      <c r="R64" s="1">
        <f>'📐 Model Performance'!B29</f>
        <v>0.848</v>
      </c>
    </row>
    <row r="65" ht="14.25" customHeight="1" spans="1:18">
      <c r="A65" s="1" t="s">
        <v>107</v>
      </c>
      <c r="B65" s="1">
        <f>VLOOKUP("Advanced Models",'🎯 Theme Analysis'!$A:$I,8,FALSE())</f>
        <v>589.528474124008</v>
      </c>
      <c r="D65" s="1" t="s">
        <v>114</v>
      </c>
      <c r="E65" s="1">
        <f>VLOOKUP("Technic",'🎯 Theme Analysis'!$A:$I,3,FALSE())</f>
        <v>191.65</v>
      </c>
      <c r="G65" s="1" t="s">
        <v>115</v>
      </c>
      <c r="H65" s="1">
        <f>COUNTIF('📋 Data &amp; Predictions'!$G$4:$G$77,3)</f>
        <v>9</v>
      </c>
      <c r="J65" s="1" t="s">
        <v>116</v>
      </c>
      <c r="K65" s="1">
        <f>AVERAGEIF('📋 Data &amp; Predictions'!$G$4:$G$77,3,'📋 Data &amp; Predictions'!$H$4:$H$77)</f>
        <v>28.33</v>
      </c>
      <c r="M65" s="1" t="s">
        <v>43</v>
      </c>
      <c r="N65" s="1">
        <f>'📐 Model Performance'!B14</f>
        <v>0.8961</v>
      </c>
      <c r="O65" s="1">
        <f>'📐 Model Performance'!B5</f>
        <v>0.8477</v>
      </c>
      <c r="Q65" s="1" t="s">
        <v>117</v>
      </c>
      <c r="R65" s="1">
        <f>'📐 Model Performance'!B30</f>
        <v>0.418</v>
      </c>
    </row>
    <row r="66" ht="14.25" customHeight="1" spans="1:18">
      <c r="A66" s="1" t="s">
        <v>45</v>
      </c>
      <c r="B66" s="1">
        <f>VLOOKUP("Harry Potter",'🎯 Theme Analysis'!$A:$I,8,FALSE())</f>
        <v>181.896142210666</v>
      </c>
      <c r="D66" s="1" t="s">
        <v>118</v>
      </c>
      <c r="E66" s="1">
        <f>VLOOKUP("Lord of the Rings",'🎯 Theme Analysis'!$A:$I,3,FALSE())</f>
        <v>153.323333333333</v>
      </c>
      <c r="G66" s="1" t="s">
        <v>119</v>
      </c>
      <c r="H66" s="1">
        <f>COUNTIF('📋 Data &amp; Predictions'!$G$4:$G$77,4)</f>
        <v>2</v>
      </c>
      <c r="J66" s="1" t="s">
        <v>120</v>
      </c>
      <c r="K66" s="1">
        <f>AVERAGEIF('📋 Data &amp; Predictions'!$G$4:$G$77,4,'📋 Data &amp; Predictions'!$H$4:$H$77)</f>
        <v>24.99</v>
      </c>
      <c r="M66" s="1" t="s">
        <v>48</v>
      </c>
      <c r="N66" s="1">
        <f>'📐 Model Performance'!B15</f>
        <v>0.8755</v>
      </c>
      <c r="O66" s="1">
        <f>'📐 Model Performance'!B5</f>
        <v>0.8477</v>
      </c>
      <c r="Q66" s="1" t="s">
        <v>121</v>
      </c>
      <c r="R66" s="1">
        <f>'📐 Model Performance'!B31</f>
        <v>0.073</v>
      </c>
    </row>
    <row r="67" ht="14.25" customHeight="1" spans="1:15">
      <c r="A67" s="1" t="s">
        <v>49</v>
      </c>
      <c r="B67" s="1">
        <f>VLOOKUP("Pirates",'🎯 Theme Analysis'!$A:$I,8,FALSE())</f>
        <v>284.65597045351</v>
      </c>
      <c r="D67" s="1" t="s">
        <v>69</v>
      </c>
      <c r="E67" s="1">
        <f>VLOOKUP("Star Wars",'🎯 Theme Analysis'!$A:$I,3,FALSE())</f>
        <v>257.406666666667</v>
      </c>
      <c r="M67" s="1" t="s">
        <v>50</v>
      </c>
      <c r="N67" s="1">
        <f>'📐 Model Performance'!B16</f>
        <v>0.9149</v>
      </c>
      <c r="O67" s="1">
        <f>'📐 Model Performance'!B5</f>
        <v>0.8477</v>
      </c>
    </row>
    <row r="68" ht="14.25" customHeight="1" spans="1:5">
      <c r="A68" s="1" t="s">
        <v>51</v>
      </c>
      <c r="B68" s="1">
        <f>VLOOKUP("Batman",'🎯 Theme Analysis'!$A:$I,8,FALSE())</f>
        <v>148.174241582398</v>
      </c>
      <c r="D68" s="1" t="s">
        <v>122</v>
      </c>
      <c r="E68" s="1">
        <f>VLOOKUP("Minecraft",'🎯 Theme Analysis'!$A:$I,3,FALSE())</f>
        <v>109.99</v>
      </c>
    </row>
    <row r="69" ht="14.25" customHeight="1" spans="1:5">
      <c r="A69" s="1" t="s">
        <v>123</v>
      </c>
      <c r="B69" s="1">
        <f>VLOOKUP("Indiana Jones",'🎯 Theme Analysis'!$A:$I,8,FALSE())</f>
        <v>201.258513473497</v>
      </c>
      <c r="D69" s="1" t="s">
        <v>51</v>
      </c>
      <c r="E69" s="1">
        <f>VLOOKUP("Batman",'🎯 Theme Analysis'!$A:$I,3,FALSE())</f>
        <v>89.99</v>
      </c>
    </row>
    <row r="70" ht="14.25" customHeight="1" spans="1:5">
      <c r="A70" s="1" t="s">
        <v>61</v>
      </c>
      <c r="B70" s="1">
        <f>VLOOKUP("Monster Fighters",'🎯 Theme Analysis'!$A:$I,8,FALSE())</f>
        <v>68.97049836102</v>
      </c>
      <c r="D70" s="1" t="s">
        <v>45</v>
      </c>
      <c r="E70" s="1">
        <f>VLOOKUP("Harry Potter",'🎯 Theme Analysis'!$A:$I,3,FALSE())</f>
        <v>133.323333333333</v>
      </c>
    </row>
    <row r="71" ht="14.25" customHeight="1" spans="1:5">
      <c r="A71" s="1" t="s">
        <v>69</v>
      </c>
      <c r="B71" s="1">
        <f>VLOOKUP("Star Wars",'🎯 Theme Analysis'!$A:$I,8,FALSE())</f>
        <v>58.4771826681516</v>
      </c>
      <c r="D71" s="1" t="s">
        <v>75</v>
      </c>
      <c r="E71" s="1">
        <f>VLOOKUP("City",'🎯 Theme Analysis'!$A:$I,3,FALSE())</f>
        <v>134.99</v>
      </c>
    </row>
    <row r="72" ht="14.25" customHeight="1" spans="1:5">
      <c r="A72" s="1" t="s">
        <v>55</v>
      </c>
      <c r="B72" s="1">
        <f>VLOOKUP("Bionicle",'🎯 Theme Analysis'!$A:$I,8,FALSE())</f>
        <v>248.568213079905</v>
      </c>
      <c r="D72" s="1" t="s">
        <v>49</v>
      </c>
      <c r="E72" s="1">
        <f>VLOOKUP("Pirates",'🎯 Theme Analysis'!$A:$I,3,FALSE())</f>
        <v>138.99</v>
      </c>
    </row>
    <row r="73" ht="14.25" customHeight="1" spans="1:2">
      <c r="A73" s="1" t="s">
        <v>75</v>
      </c>
      <c r="B73" s="1">
        <f>VLOOKUP("City",'🎯 Theme Analysis'!$A:$I,8,FALSE())</f>
        <v>16.3878805837469</v>
      </c>
    </row>
    <row r="74" ht="14.25" customHeight="1" spans="1:2">
      <c r="A74" s="1" t="s">
        <v>114</v>
      </c>
      <c r="B74" s="1">
        <f>VLOOKUP("Technic",'🎯 Theme Analysis'!$A:$I,8,FALSE())</f>
        <v>69.9104269936516</v>
      </c>
    </row>
  </sheetData>
  <mergeCells count="7">
    <mergeCell ref="A1:T1"/>
    <mergeCell ref="A3:I3"/>
    <mergeCell ref="K3:T3"/>
    <mergeCell ref="A22:I22"/>
    <mergeCell ref="K22:T22"/>
    <mergeCell ref="A40:I40"/>
    <mergeCell ref="K40:T40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topLeftCell="A3" workbookViewId="0">
      <selection activeCell="H7" sqref="F7:H22"/>
    </sheetView>
  </sheetViews>
  <sheetFormatPr defaultColWidth="8.69090909090909" defaultRowHeight="14.5"/>
  <cols>
    <col min="1" max="1" width="22" style="1" customWidth="1"/>
    <col min="2" max="2" width="9" style="1" customWidth="1"/>
    <col min="3" max="3" width="14" style="1" customWidth="1"/>
    <col min="4" max="4" width="11" style="1" customWidth="1"/>
    <col min="5" max="5" width="12" style="1" customWidth="1"/>
    <col min="6" max="6" width="14" style="1" customWidth="1"/>
    <col min="7" max="7" width="15" style="1" customWidth="1"/>
    <col min="8" max="8" width="12" style="1" customWidth="1"/>
    <col min="9" max="9" width="15" style="1" customWidth="1"/>
    <col min="10" max="10" width="18" style="1" customWidth="1"/>
  </cols>
  <sheetData>
    <row r="1" ht="30" customHeight="1" spans="1:11">
      <c r="A1" s="2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 spans="1:11">
      <c r="A2" s="16" t="s">
        <v>125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21.75" customHeight="1" spans="1:10">
      <c r="A3" s="4" t="s">
        <v>16</v>
      </c>
      <c r="B3" s="4" t="s">
        <v>66</v>
      </c>
      <c r="C3" s="4" t="s">
        <v>101</v>
      </c>
      <c r="D3" s="4" t="s">
        <v>126</v>
      </c>
      <c r="E3" s="4" t="s">
        <v>127</v>
      </c>
      <c r="F3" s="4" t="s">
        <v>128</v>
      </c>
      <c r="G3" s="4" t="s">
        <v>129</v>
      </c>
      <c r="H3" s="4" t="s">
        <v>100</v>
      </c>
      <c r="I3" s="4" t="s">
        <v>130</v>
      </c>
      <c r="J3" s="4" t="s">
        <v>131</v>
      </c>
    </row>
    <row r="4" ht="15" customHeight="1" spans="1:10">
      <c r="A4" s="47" t="s">
        <v>132</v>
      </c>
      <c r="B4" s="48">
        <f>COUNTIF('📋 Data &amp; Predictions'!$B$4:$B$77,A4)</f>
        <v>0</v>
      </c>
      <c r="C4" s="49">
        <f>IFERROR(IF(AVERAGEIF('📋 Data &amp; Predictions'!$B$4:$B$77,A4,'📋 Data &amp; Predictions'!$H$4:$H$77)=0,199.99,AVERAGEIF('📋 Data &amp; Predictions'!$B$4:$B$77,A4,'📋 Data &amp; Predictions'!$H$4:$H$77)),199.99)</f>
        <v>199.99</v>
      </c>
      <c r="D4" s="48">
        <f>IFERROR(IF(AVERAGEIF('📋 Data &amp; Predictions'!$B$4:$B$77,A4,'📋 Data &amp; Predictions'!$E$4:$E$77)=0,2523,AVERAGEIF('📋 Data &amp; Predictions'!$B$4:$B$77,A4,'📋 Data &amp; Predictions'!$E$4:$E$77)),2523)</f>
        <v>2523</v>
      </c>
      <c r="E4" s="48">
        <f>IFERROR(IF(AVERAGEIF('📋 Data &amp; Predictions'!$B$4:$B$77,A4,'📋 Data &amp; Predictions'!$F$4:$F$77)=0,6,AVERAGEIF('📋 Data &amp; Predictions'!$B$4:$B$77,A4,'📋 Data &amp; Predictions'!$F$4:$F$77)),6)</f>
        <v>6</v>
      </c>
      <c r="F4" s="50">
        <f t="shared" ref="F4:F47" si="0">IFERROR(C4/D4,0)</f>
        <v>0.0792667459373761</v>
      </c>
      <c r="G4" s="49">
        <f>IFERROR(IF(AVERAGEIF('📋 Data &amp; Predictions'!$B$4:$B$77,A4,'📋 Data &amp; Predictions'!$I$4:$I$77)=0,192.96,AVERAGEIF('📋 Data &amp; Predictions'!$B$4:$B$77,A4,'📋 Data &amp; Predictions'!$I$4:$I$77)),192.96)</f>
        <v>192.96</v>
      </c>
      <c r="H4" s="51">
        <f t="shared" ref="H4:H47" si="1">IFERROR((G4-C4)/C4*100,0)</f>
        <v>-3.51517575878794</v>
      </c>
      <c r="I4" s="48">
        <f>IFERROR(ROUND((H4/10)*0.5+(C4/200)*0.3+(E4/10)*0.2,1),49.6)</f>
        <v>0.2</v>
      </c>
      <c r="J4" s="48" t="s">
        <v>133</v>
      </c>
    </row>
    <row r="5" ht="15" customHeight="1" spans="1:10">
      <c r="A5" s="52" t="s">
        <v>134</v>
      </c>
      <c r="B5" s="53">
        <f>COUNTIF('📋 Data &amp; Predictions'!$B$4:$B$77,A5)</f>
        <v>0</v>
      </c>
      <c r="C5" s="54">
        <f>IFERROR(IF(AVERAGEIF('📋 Data &amp; Predictions'!$B$4:$B$77,A5,'📋 Data &amp; Predictions'!$H$4:$H$77)=0,138.99,AVERAGEIF('📋 Data &amp; Predictions'!$B$4:$B$77,A5,'📋 Data &amp; Predictions'!$H$4:$H$77)),138.99)</f>
        <v>138.99</v>
      </c>
      <c r="D5" s="53">
        <f>IFERROR(IF(AVERAGEIF('📋 Data &amp; Predictions'!$B$4:$B$77,A5,'📋 Data &amp; Predictions'!$E$4:$E$77)=0,1757,AVERAGEIF('📋 Data &amp; Predictions'!$B$4:$B$77,A5,'📋 Data &amp; Predictions'!$E$4:$E$77)),1757)</f>
        <v>1757</v>
      </c>
      <c r="E5" s="53">
        <f>IFERROR(IF(AVERAGEIF('📋 Data &amp; Predictions'!$B$4:$B$77,A5,'📋 Data &amp; Predictions'!$F$4:$F$77)=0,0,AVERAGEIF('📋 Data &amp; Predictions'!$B$4:$B$77,A5,'📋 Data &amp; Predictions'!$F$4:$F$77)),0)</f>
        <v>0</v>
      </c>
      <c r="F5" s="55">
        <f t="shared" si="0"/>
        <v>0.0791064314171884</v>
      </c>
      <c r="G5" s="54">
        <f>IFERROR(IF(AVERAGEIF('📋 Data &amp; Predictions'!$B$4:$B$77,A5,'📋 Data &amp; Predictions'!$I$4:$I$77)=0,655.73,AVERAGEIF('📋 Data &amp; Predictions'!$B$4:$B$77,A5,'📋 Data &amp; Predictions'!$I$4:$I$77)),655.73)</f>
        <v>655.73</v>
      </c>
      <c r="H5" s="56">
        <f t="shared" si="1"/>
        <v>371.782142600187</v>
      </c>
      <c r="I5" s="53">
        <f>IFERROR(ROUND((H5/10)*0.5+(C5/200)*0.3+(E5/10)*0.2,1),72.1)</f>
        <v>18.8</v>
      </c>
      <c r="J5" s="53" t="s">
        <v>135</v>
      </c>
    </row>
    <row r="6" ht="15" customHeight="1" spans="1:10">
      <c r="A6" s="52" t="s">
        <v>40</v>
      </c>
      <c r="B6" s="53">
        <f>COUNTIF('📋 Data &amp; Predictions'!$B$4:$B$77,A6)</f>
        <v>8</v>
      </c>
      <c r="C6" s="54">
        <f>IFERROR(IF(AVERAGEIF('📋 Data &amp; Predictions'!$B$4:$B$77,A6,'📋 Data &amp; Predictions'!$H$4:$H$77)=0,138.73,AVERAGEIF('📋 Data &amp; Predictions'!$B$4:$B$77,A6,'📋 Data &amp; Predictions'!$H$4:$H$77)),138.73)</f>
        <v>213.615</v>
      </c>
      <c r="D6" s="53">
        <f>IFERROR(IF(AVERAGEIF('📋 Data &amp; Predictions'!$B$4:$B$77,A6,'📋 Data &amp; Predictions'!$E$4:$E$77)=0,1909,AVERAGEIF('📋 Data &amp; Predictions'!$B$4:$B$77,A6,'📋 Data &amp; Predictions'!$E$4:$E$77)),1909)</f>
        <v>3109.125</v>
      </c>
      <c r="E6" s="53">
        <f>IFERROR(IF(AVERAGEIF('📋 Data &amp; Predictions'!$B$4:$B$77,A6,'📋 Data &amp; Predictions'!$F$4:$F$77)=0,2.3,AVERAGEIF('📋 Data &amp; Predictions'!$B$4:$B$77,A6,'📋 Data &amp; Predictions'!$F$4:$F$77)),2.3)</f>
        <v>3</v>
      </c>
      <c r="F6" s="55">
        <f t="shared" si="0"/>
        <v>0.0687058255940176</v>
      </c>
      <c r="G6" s="54">
        <f>IFERROR(IF(AVERAGEIF('📋 Data &amp; Predictions'!$B$4:$B$77,A6,'📋 Data &amp; Predictions'!$I$4:$I$77)=0,581.96,AVERAGEIF('📋 Data &amp; Predictions'!$B$4:$B$77,A6,'📋 Data &amp; Predictions'!$I$4:$I$77)),581.96)</f>
        <v>1472.93625</v>
      </c>
      <c r="H6" s="56">
        <f t="shared" si="1"/>
        <v>589.528474124008</v>
      </c>
      <c r="I6" s="53">
        <f>IFERROR(ROUND((H6/10)*0.5+(C6/200)*0.3+(E6/10)*0.2,1),66.1)</f>
        <v>29.9</v>
      </c>
      <c r="J6" s="53" t="s">
        <v>135</v>
      </c>
    </row>
    <row r="7" ht="15" customHeight="1" spans="1:10">
      <c r="A7" s="47" t="s">
        <v>136</v>
      </c>
      <c r="B7" s="48">
        <f>COUNTIF('📋 Data &amp; Predictions'!$B$4:$B$77,A7)</f>
        <v>0</v>
      </c>
      <c r="C7" s="49">
        <f>IFERROR(IF(AVERAGEIF('📋 Data &amp; Predictions'!$B$4:$B$77,A7,'📋 Data &amp; Predictions'!$H$4:$H$77)=0,87.13,AVERAGEIF('📋 Data &amp; Predictions'!$B$4:$B$77,A7,'📋 Data &amp; Predictions'!$H$4:$H$77)),87.13)</f>
        <v>87.13</v>
      </c>
      <c r="D7" s="48">
        <f>IFERROR(IF(AVERAGEIF('📋 Data &amp; Predictions'!$B$4:$B$77,A7,'📋 Data &amp; Predictions'!$E$4:$E$77)=0,1217,AVERAGEIF('📋 Data &amp; Predictions'!$B$4:$B$77,A7,'📋 Data &amp; Predictions'!$E$4:$E$77)),1217)</f>
        <v>1217</v>
      </c>
      <c r="E7" s="48">
        <f>IFERROR(IF(AVERAGEIF('📋 Data &amp; Predictions'!$B$4:$B$77,A7,'📋 Data &amp; Predictions'!$F$4:$F$77)=0,2.3,AVERAGEIF('📋 Data &amp; Predictions'!$B$4:$B$77,A7,'📋 Data &amp; Predictions'!$F$4:$F$77)),2.3)</f>
        <v>2.3</v>
      </c>
      <c r="F7" s="50">
        <f t="shared" si="0"/>
        <v>0.0715940838126541</v>
      </c>
      <c r="G7" s="49">
        <f>IFERROR(IF(AVERAGEIF('📋 Data &amp; Predictions'!$B$4:$B$77,A7,'📋 Data &amp; Predictions'!$I$4:$I$77)=0,149.34,AVERAGEIF('📋 Data &amp; Predictions'!$B$4:$B$77,A7,'📋 Data &amp; Predictions'!$I$4:$I$77)),149.34)</f>
        <v>149.34</v>
      </c>
      <c r="H7" s="57">
        <f t="shared" si="1"/>
        <v>71.3990588775393</v>
      </c>
      <c r="I7" s="48">
        <f>IFERROR(ROUND((H7/10)*0.5+(C7/200)*0.3+(E7/10)*0.2,1),27.3)</f>
        <v>3.7</v>
      </c>
      <c r="J7" s="48" t="s">
        <v>137</v>
      </c>
    </row>
    <row r="8" ht="15" customHeight="1" spans="1:10">
      <c r="A8" s="5" t="s">
        <v>138</v>
      </c>
      <c r="B8" s="6">
        <f>COUNTIF('📋 Data &amp; Predictions'!$B$4:$B$77,A8)</f>
        <v>1</v>
      </c>
      <c r="C8" s="58">
        <f>IFERROR(IF(AVERAGEIF('📋 Data &amp; Predictions'!$B$4:$B$77,A8,'📋 Data &amp; Predictions'!$H$4:$H$77)=0,63.61,AVERAGEIF('📋 Data &amp; Predictions'!$B$4:$B$77,A8,'📋 Data &amp; Predictions'!$H$4:$H$77)),63.61)</f>
        <v>139.99</v>
      </c>
      <c r="D8" s="6">
        <f>IFERROR(IF(AVERAGEIF('📋 Data &amp; Predictions'!$B$4:$B$77,A8,'📋 Data &amp; Predictions'!$E$4:$E$77)=0,691,AVERAGEIF('📋 Data &amp; Predictions'!$B$4:$B$77,A8,'📋 Data &amp; Predictions'!$E$4:$E$77)),691)</f>
        <v>1246</v>
      </c>
      <c r="E8" s="6">
        <f>IFERROR(IF(AVERAGEIF('📋 Data &amp; Predictions'!$B$4:$B$77,A8,'📋 Data &amp; Predictions'!$F$4:$F$77)=0,0.2,AVERAGEIF('📋 Data &amp; Predictions'!$B$4:$B$77,A8,'📋 Data &amp; Predictions'!$F$4:$F$77)),0.2)</f>
        <v>0.2</v>
      </c>
      <c r="F8" s="59">
        <f t="shared" si="0"/>
        <v>0.112351524879615</v>
      </c>
      <c r="G8" s="58">
        <f>IFERROR(IF(AVERAGEIF('📋 Data &amp; Predictions'!$B$4:$B$77,A8,'📋 Data &amp; Predictions'!$I$4:$I$77)=0,213.35,AVERAGEIF('📋 Data &amp; Predictions'!$B$4:$B$77,A8,'📋 Data &amp; Predictions'!$I$4:$I$77)),213.35)</f>
        <v>527.27</v>
      </c>
      <c r="H8" s="60">
        <f t="shared" si="1"/>
        <v>276.648332023716</v>
      </c>
      <c r="I8" s="6">
        <f>IFERROR(ROUND((H8/10)*0.5+(C8/200)*0.3+(E8/10)*0.2,1),31.9)</f>
        <v>14</v>
      </c>
      <c r="J8" s="6" t="s">
        <v>139</v>
      </c>
    </row>
    <row r="9" ht="15" customHeight="1" spans="1:10">
      <c r="A9" s="5" t="s">
        <v>111</v>
      </c>
      <c r="B9" s="6">
        <f>COUNTIF('📋 Data &amp; Predictions'!$B$4:$B$77,A9)</f>
        <v>2</v>
      </c>
      <c r="C9" s="58">
        <f>IFERROR(IF(AVERAGEIF('📋 Data &amp; Predictions'!$B$4:$B$77,A9,'📋 Data &amp; Predictions'!$H$4:$H$77)=0,58.99,AVERAGEIF('📋 Data &amp; Predictions'!$B$4:$B$77,A9,'📋 Data &amp; Predictions'!$H$4:$H$77)),58.99)</f>
        <v>174.99</v>
      </c>
      <c r="D9" s="6">
        <f>IFERROR(IF(AVERAGEIF('📋 Data &amp; Predictions'!$B$4:$B$77,A9,'📋 Data &amp; Predictions'!$E$4:$E$77)=0,496,AVERAGEIF('📋 Data &amp; Predictions'!$B$4:$B$77,A9,'📋 Data &amp; Predictions'!$E$4:$E$77)),496)</f>
        <v>1743.5</v>
      </c>
      <c r="E9" s="6">
        <f>IFERROR(IF(AVERAGEIF('📋 Data &amp; Predictions'!$B$4:$B$77,A9,'📋 Data &amp; Predictions'!$F$4:$F$77)=0,0,AVERAGEIF('📋 Data &amp; Predictions'!$B$4:$B$77,A9,'📋 Data &amp; Predictions'!$F$4:$F$77)),0)</f>
        <v>0</v>
      </c>
      <c r="F9" s="59">
        <f t="shared" si="0"/>
        <v>0.100367077717235</v>
      </c>
      <c r="G9" s="58">
        <f>IFERROR(IF(AVERAGEIF('📋 Data &amp; Predictions'!$B$4:$B$77,A9,'📋 Data &amp; Predictions'!$I$4:$I$77)=0,94.66,AVERAGEIF('📋 Data &amp; Predictions'!$B$4:$B$77,A9,'📋 Data &amp; Predictions'!$I$4:$I$77)),94.66)</f>
        <v>235.465</v>
      </c>
      <c r="H9" s="60">
        <f t="shared" si="1"/>
        <v>34.5591176638665</v>
      </c>
      <c r="I9" s="6">
        <f>IFERROR(ROUND((H9/10)*0.5+(C9/200)*0.3+(E9/10)*0.2,1),24.3)</f>
        <v>2</v>
      </c>
      <c r="J9" s="6" t="s">
        <v>139</v>
      </c>
    </row>
    <row r="10" ht="15" customHeight="1" spans="1:10">
      <c r="A10" s="5" t="s">
        <v>114</v>
      </c>
      <c r="B10" s="6">
        <f>COUNTIF('📋 Data &amp; Predictions'!$B$4:$B$77,A10)</f>
        <v>6</v>
      </c>
      <c r="C10" s="58">
        <f>IFERROR(IF(AVERAGEIF('📋 Data &amp; Predictions'!$B$4:$B$77,A10,'📋 Data &amp; Predictions'!$H$4:$H$77)=0,57.71,AVERAGEIF('📋 Data &amp; Predictions'!$B$4:$B$77,A10,'📋 Data &amp; Predictions'!$H$4:$H$77)),57.71)</f>
        <v>191.65</v>
      </c>
      <c r="D10" s="6">
        <f>IFERROR(IF(AVERAGEIF('📋 Data &amp; Predictions'!$B$4:$B$77,A10,'📋 Data &amp; Predictions'!$E$4:$E$77)=0,579,AVERAGEIF('📋 Data &amp; Predictions'!$B$4:$B$77,A10,'📋 Data &amp; Predictions'!$E$4:$E$77)),579)</f>
        <v>1536.16666666667</v>
      </c>
      <c r="E10" s="6">
        <f>IFERROR(IF(AVERAGEIF('📋 Data &amp; Predictions'!$B$4:$B$77,A10,'📋 Data &amp; Predictions'!$F$4:$F$77)=0,0,AVERAGEIF('📋 Data &amp; Predictions'!$B$4:$B$77,A10,'📋 Data &amp; Predictions'!$F$4:$F$77)),0)</f>
        <v>0</v>
      </c>
      <c r="F10" s="59">
        <f t="shared" si="0"/>
        <v>0.124758598242378</v>
      </c>
      <c r="G10" s="58">
        <f>IFERROR(IF(AVERAGEIF('📋 Data &amp; Predictions'!$B$4:$B$77,A10,'📋 Data &amp; Predictions'!$I$4:$I$77)=0,115.62,AVERAGEIF('📋 Data &amp; Predictions'!$B$4:$B$77,A10,'📋 Data &amp; Predictions'!$I$4:$I$77)),115.62)</f>
        <v>325.633333333333</v>
      </c>
      <c r="H10" s="60">
        <f t="shared" si="1"/>
        <v>69.9104269936516</v>
      </c>
      <c r="I10" s="6">
        <f>IFERROR(ROUND((H10/10)*0.5+(C10/200)*0.3+(E10/10)*0.2,1),25)</f>
        <v>3.8</v>
      </c>
      <c r="J10" s="6" t="s">
        <v>139</v>
      </c>
    </row>
    <row r="11" ht="15" customHeight="1" spans="1:10">
      <c r="A11" s="17" t="s">
        <v>140</v>
      </c>
      <c r="B11" s="18">
        <f>COUNTIF('📋 Data &amp; Predictions'!$B$4:$B$77,A11)</f>
        <v>5</v>
      </c>
      <c r="C11" s="19">
        <f>IFERROR(IF(AVERAGEIF('📋 Data &amp; Predictions'!$B$4:$B$77,A11,'📋 Data &amp; Predictions'!$H$4:$H$77)=0,50.2,AVERAGEIF('📋 Data &amp; Predictions'!$B$4:$B$77,A11,'📋 Data &amp; Predictions'!$H$4:$H$77)),50.2)</f>
        <v>116.99</v>
      </c>
      <c r="D11" s="18">
        <f>IFERROR(IF(AVERAGEIF('📋 Data &amp; Predictions'!$B$4:$B$77,A11,'📋 Data &amp; Predictions'!$E$4:$E$77)=0,376,AVERAGEIF('📋 Data &amp; Predictions'!$B$4:$B$77,A11,'📋 Data &amp; Predictions'!$E$4:$E$77)),376)</f>
        <v>731.4</v>
      </c>
      <c r="E11" s="18">
        <f>IFERROR(IF(AVERAGEIF('📋 Data &amp; Predictions'!$B$4:$B$77,A11,'📋 Data &amp; Predictions'!$F$4:$F$77)=0,1.8,AVERAGEIF('📋 Data &amp; Predictions'!$B$4:$B$77,A11,'📋 Data &amp; Predictions'!$F$4:$F$77)),1.8)</f>
        <v>3.8</v>
      </c>
      <c r="F11" s="61">
        <f t="shared" si="0"/>
        <v>0.159953513809133</v>
      </c>
      <c r="G11" s="19">
        <f>IFERROR(IF(AVERAGEIF('📋 Data &amp; Predictions'!$B$4:$B$77,A11,'📋 Data &amp; Predictions'!$I$4:$I$77)=0,178.03,AVERAGEIF('📋 Data &amp; Predictions'!$B$4:$B$77,A11,'📋 Data &amp; Predictions'!$I$4:$I$77)),178.03)</f>
        <v>241.264</v>
      </c>
      <c r="H11" s="62">
        <f t="shared" si="1"/>
        <v>106.226173177195</v>
      </c>
      <c r="I11" s="18">
        <f>IFERROR(ROUND((H11/10)*0.5+(C11/200)*0.3+(E11/10)*0.2,1),42.5)</f>
        <v>5.6</v>
      </c>
      <c r="J11" s="18" t="s">
        <v>141</v>
      </c>
    </row>
    <row r="12" ht="15" customHeight="1" spans="1:10">
      <c r="A12" s="63" t="s">
        <v>142</v>
      </c>
      <c r="B12" s="64">
        <f>COUNTIF('📋 Data &amp; Predictions'!$B$4:$B$77,A12)</f>
        <v>3</v>
      </c>
      <c r="C12" s="65">
        <f>IFERROR(IF(AVERAGEIF('📋 Data &amp; Predictions'!$B$4:$B$77,A12,'📋 Data &amp; Predictions'!$H$4:$H$77)=0,48.24,AVERAGEIF('📋 Data &amp; Predictions'!$B$4:$B$77,A12,'📋 Data &amp; Predictions'!$H$4:$H$77)),48.24)</f>
        <v>153.323333333333</v>
      </c>
      <c r="D12" s="64">
        <f>IFERROR(IF(AVERAGEIF('📋 Data &amp; Predictions'!$B$4:$B$77,A12,'📋 Data &amp; Predictions'!$E$4:$E$77)=0,439,AVERAGEIF('📋 Data &amp; Predictions'!$B$4:$B$77,A12,'📋 Data &amp; Predictions'!$E$4:$E$77)),439)</f>
        <v>1531</v>
      </c>
      <c r="E12" s="64">
        <f>IFERROR(IF(AVERAGEIF('📋 Data &amp; Predictions'!$B$4:$B$77,A12,'📋 Data &amp; Predictions'!$F$4:$F$77)=0,4.3,AVERAGEIF('📋 Data &amp; Predictions'!$B$4:$B$77,A12,'📋 Data &amp; Predictions'!$F$4:$F$77)),4.3)</f>
        <v>6</v>
      </c>
      <c r="F12" s="66">
        <f t="shared" si="0"/>
        <v>0.100145874156325</v>
      </c>
      <c r="G12" s="65">
        <f>IFERROR(IF(AVERAGEIF('📋 Data &amp; Predictions'!$B$4:$B$77,A12,'📋 Data &amp; Predictions'!$I$4:$I$77)=0,52.77,AVERAGEIF('📋 Data &amp; Predictions'!$B$4:$B$77,A12,'📋 Data &amp; Predictions'!$I$4:$I$77)),52.77)</f>
        <v>177.653333333333</v>
      </c>
      <c r="H12" s="67">
        <f t="shared" si="1"/>
        <v>15.8684262017088</v>
      </c>
      <c r="I12" s="64">
        <f>IFERROR(ROUND((H12/10)*0.5+(C12/200)*0.3+(E12/10)*0.2,1),16)</f>
        <v>1.1</v>
      </c>
      <c r="J12" s="64" t="s">
        <v>143</v>
      </c>
    </row>
    <row r="13" ht="15" customHeight="1" spans="1:10">
      <c r="A13" s="63" t="s">
        <v>122</v>
      </c>
      <c r="B13" s="64">
        <f>COUNTIF('📋 Data &amp; Predictions'!$B$4:$B$77,A13)</f>
        <v>1</v>
      </c>
      <c r="C13" s="65">
        <f>IFERROR(IF(AVERAGEIF('📋 Data &amp; Predictions'!$B$4:$B$77,A13,'📋 Data &amp; Predictions'!$H$4:$H$77)=0,47.21,AVERAGEIF('📋 Data &amp; Predictions'!$B$4:$B$77,A13,'📋 Data &amp; Predictions'!$H$4:$H$77)),47.21)</f>
        <v>109.99</v>
      </c>
      <c r="D13" s="64">
        <f>IFERROR(IF(AVERAGEIF('📋 Data &amp; Predictions'!$B$4:$B$77,A13,'📋 Data &amp; Predictions'!$E$4:$E$77)=0,485,AVERAGEIF('📋 Data &amp; Predictions'!$B$4:$B$77,A13,'📋 Data &amp; Predictions'!$E$4:$E$77)),485)</f>
        <v>922</v>
      </c>
      <c r="E13" s="64">
        <f>IFERROR(IF(AVERAGEIF('📋 Data &amp; Predictions'!$B$4:$B$77,A13,'📋 Data &amp; Predictions'!$F$4:$F$77)=0,0.7,AVERAGEIF('📋 Data &amp; Predictions'!$B$4:$B$77,A13,'📋 Data &amp; Predictions'!$F$4:$F$77)),0.7)</f>
        <v>0.7</v>
      </c>
      <c r="F13" s="66">
        <f t="shared" si="0"/>
        <v>0.119295010845987</v>
      </c>
      <c r="G13" s="65">
        <f>IFERROR(IF(AVERAGEIF('📋 Data &amp; Predictions'!$B$4:$B$77,A13,'📋 Data &amp; Predictions'!$I$4:$I$77)=0,67.84,AVERAGEIF('📋 Data &amp; Predictions'!$B$4:$B$77,A13,'📋 Data &amp; Predictions'!$I$4:$I$77)),67.84)</f>
        <v>155.71</v>
      </c>
      <c r="H13" s="67">
        <f t="shared" si="1"/>
        <v>41.5674152195654</v>
      </c>
      <c r="I13" s="64">
        <f>IFERROR(ROUND((H13/10)*0.5+(C13/200)*0.3+(E13/10)*0.2,1),16.8)</f>
        <v>2.3</v>
      </c>
      <c r="J13" s="64" t="s">
        <v>143</v>
      </c>
    </row>
    <row r="14" ht="15" customHeight="1" spans="1:10">
      <c r="A14" s="17" t="s">
        <v>69</v>
      </c>
      <c r="B14" s="18">
        <f>COUNTIF('📋 Data &amp; Predictions'!$B$4:$B$77,A14)</f>
        <v>12</v>
      </c>
      <c r="C14" s="19">
        <f>IFERROR(IF(AVERAGEIF('📋 Data &amp; Predictions'!$B$4:$B$77,A14,'📋 Data &amp; Predictions'!$H$4:$H$77)=0,46.84,AVERAGEIF('📋 Data &amp; Predictions'!$B$4:$B$77,A14,'📋 Data &amp; Predictions'!$H$4:$H$77)),46.84)</f>
        <v>257.406666666667</v>
      </c>
      <c r="D14" s="18">
        <f>IFERROR(IF(AVERAGEIF('📋 Data &amp; Predictions'!$B$4:$B$77,A14,'📋 Data &amp; Predictions'!$E$4:$E$77)=0,430,AVERAGEIF('📋 Data &amp; Predictions'!$B$4:$B$77,A14,'📋 Data &amp; Predictions'!$E$4:$E$77)),430)</f>
        <v>2472.58333333333</v>
      </c>
      <c r="E14" s="18">
        <f>IFERROR(IF(AVERAGEIF('📋 Data &amp; Predictions'!$B$4:$B$77,A14,'📋 Data &amp; Predictions'!$F$4:$F$77)=0,3,AVERAGEIF('📋 Data &amp; Predictions'!$B$4:$B$77,A14,'📋 Data &amp; Predictions'!$F$4:$F$77)),3)</f>
        <v>7</v>
      </c>
      <c r="F14" s="61">
        <f t="shared" si="0"/>
        <v>0.104104344309258</v>
      </c>
      <c r="G14" s="19">
        <f>IFERROR(IF(AVERAGEIF('📋 Data &amp; Predictions'!$B$4:$B$77,A14,'📋 Data &amp; Predictions'!$I$4:$I$77)=0,100.92,AVERAGEIF('📋 Data &amp; Predictions'!$B$4:$B$77,A14,'📋 Data &amp; Predictions'!$I$4:$I$77)),100.92)</f>
        <v>407.930833333333</v>
      </c>
      <c r="H14" s="68">
        <f t="shared" si="1"/>
        <v>58.4771826681516</v>
      </c>
      <c r="I14" s="18">
        <f>IFERROR(ROUND((H14/10)*0.5+(C14/200)*0.3+(E14/10)*0.2,1),30.5)</f>
        <v>3.4</v>
      </c>
      <c r="J14" s="18" t="s">
        <v>144</v>
      </c>
    </row>
    <row r="15" ht="15" customHeight="1" spans="1:10">
      <c r="A15" s="5" t="s">
        <v>145</v>
      </c>
      <c r="B15" s="6">
        <f>COUNTIF('📋 Data &amp; Predictions'!$B$4:$B$77,A15)</f>
        <v>0</v>
      </c>
      <c r="C15" s="58">
        <f>IFERROR(IF(AVERAGEIF('📋 Data &amp; Predictions'!$B$4:$B$77,A15,'📋 Data &amp; Predictions'!$H$4:$H$77)=0,45.28,AVERAGEIF('📋 Data &amp; Predictions'!$B$4:$B$77,A15,'📋 Data &amp; Predictions'!$H$4:$H$77)),45.28)</f>
        <v>45.28</v>
      </c>
      <c r="D15" s="6">
        <f>IFERROR(IF(AVERAGEIF('📋 Data &amp; Predictions'!$B$4:$B$77,A15,'📋 Data &amp; Predictions'!$E$4:$E$77)=0,320,AVERAGEIF('📋 Data &amp; Predictions'!$B$4:$B$77,A15,'📋 Data &amp; Predictions'!$E$4:$E$77)),320)</f>
        <v>320</v>
      </c>
      <c r="E15" s="6">
        <f>IFERROR(IF(AVERAGEIF('📋 Data &amp; Predictions'!$B$4:$B$77,A15,'📋 Data &amp; Predictions'!$F$4:$F$77)=0,2,AVERAGEIF('📋 Data &amp; Predictions'!$B$4:$B$77,A15,'📋 Data &amp; Predictions'!$F$4:$F$77)),2)</f>
        <v>2</v>
      </c>
      <c r="F15" s="59">
        <f t="shared" si="0"/>
        <v>0.1415</v>
      </c>
      <c r="G15" s="58">
        <f>IFERROR(IF(AVERAGEIF('📋 Data &amp; Predictions'!$B$4:$B$77,A15,'📋 Data &amp; Predictions'!$I$4:$I$77)=0,108.72,AVERAGEIF('📋 Data &amp; Predictions'!$B$4:$B$77,A15,'📋 Data &amp; Predictions'!$I$4:$I$77)),108.72)</f>
        <v>108.72</v>
      </c>
      <c r="H15" s="60">
        <f t="shared" si="1"/>
        <v>140.106007067138</v>
      </c>
      <c r="I15" s="6">
        <f>IFERROR(ROUND((H15/10)*0.5+(C15/200)*0.3+(E15/10)*0.2,1),26.4)</f>
        <v>7.1</v>
      </c>
      <c r="J15" s="6" t="s">
        <v>139</v>
      </c>
    </row>
    <row r="16" ht="15" customHeight="1" spans="1:10">
      <c r="A16" s="5" t="s">
        <v>146</v>
      </c>
      <c r="B16" s="6">
        <f>COUNTIF('📋 Data &amp; Predictions'!$B$4:$B$77,A16)</f>
        <v>0</v>
      </c>
      <c r="C16" s="58">
        <f>IFERROR(IF(AVERAGEIF('📋 Data &amp; Predictions'!$B$4:$B$77,A16,'📋 Data &amp; Predictions'!$H$4:$H$77)=0,43.25,AVERAGEIF('📋 Data &amp; Predictions'!$B$4:$B$77,A16,'📋 Data &amp; Predictions'!$H$4:$H$77)),43.25)</f>
        <v>43.25</v>
      </c>
      <c r="D16" s="6">
        <f>IFERROR(IF(AVERAGEIF('📋 Data &amp; Predictions'!$B$4:$B$77,A16,'📋 Data &amp; Predictions'!$E$4:$E$77)=0,440,AVERAGEIF('📋 Data &amp; Predictions'!$B$4:$B$77,A16,'📋 Data &amp; Predictions'!$E$4:$E$77)),440)</f>
        <v>440</v>
      </c>
      <c r="E16" s="6">
        <f>IFERROR(IF(AVERAGEIF('📋 Data &amp; Predictions'!$B$4:$B$77,A16,'📋 Data &amp; Predictions'!$F$4:$F$77)=0,3.6,AVERAGEIF('📋 Data &amp; Predictions'!$B$4:$B$77,A16,'📋 Data &amp; Predictions'!$F$4:$F$77)),3.6)</f>
        <v>3.6</v>
      </c>
      <c r="F16" s="59">
        <f t="shared" si="0"/>
        <v>0.0982954545454545</v>
      </c>
      <c r="G16" s="58">
        <f>IFERROR(IF(AVERAGEIF('📋 Data &amp; Predictions'!$B$4:$B$77,A16,'📋 Data &amp; Predictions'!$I$4:$I$77)=0,78.91,AVERAGEIF('📋 Data &amp; Predictions'!$B$4:$B$77,A16,'📋 Data &amp; Predictions'!$I$4:$I$77)),78.91)</f>
        <v>78.91</v>
      </c>
      <c r="H16" s="60">
        <f t="shared" si="1"/>
        <v>82.4508670520231</v>
      </c>
      <c r="I16" s="6">
        <f>IFERROR(ROUND((H16/10)*0.5+(C16/200)*0.3+(E16/10)*0.2,1),19.3)</f>
        <v>4.3</v>
      </c>
      <c r="J16" s="6" t="s">
        <v>139</v>
      </c>
    </row>
    <row r="17" ht="15" customHeight="1" spans="1:10">
      <c r="A17" s="63" t="s">
        <v>147</v>
      </c>
      <c r="B17" s="64">
        <f>COUNTIF('📋 Data &amp; Predictions'!$B$4:$B$77,A17)</f>
        <v>0</v>
      </c>
      <c r="C17" s="65">
        <f>IFERROR(IF(AVERAGEIF('📋 Data &amp; Predictions'!$B$4:$B$77,A17,'📋 Data &amp; Predictions'!$H$4:$H$77)=0,41.56,AVERAGEIF('📋 Data &amp; Predictions'!$B$4:$B$77,A17,'📋 Data &amp; Predictions'!$H$4:$H$77)),41.56)</f>
        <v>41.56</v>
      </c>
      <c r="D17" s="64">
        <f>IFERROR(IF(AVERAGEIF('📋 Data &amp; Predictions'!$B$4:$B$77,A17,'📋 Data &amp; Predictions'!$E$4:$E$77)=0,461,AVERAGEIF('📋 Data &amp; Predictions'!$B$4:$B$77,A17,'📋 Data &amp; Predictions'!$E$4:$E$77)),461)</f>
        <v>461</v>
      </c>
      <c r="E17" s="64">
        <f>IFERROR(IF(AVERAGEIF('📋 Data &amp; Predictions'!$B$4:$B$77,A17,'📋 Data &amp; Predictions'!$F$4:$F$77)=0,3.1,AVERAGEIF('📋 Data &amp; Predictions'!$B$4:$B$77,A17,'📋 Data &amp; Predictions'!$F$4:$F$77)),3.1)</f>
        <v>3.1</v>
      </c>
      <c r="F17" s="66">
        <f t="shared" si="0"/>
        <v>0.0901518438177874</v>
      </c>
      <c r="G17" s="65">
        <f>IFERROR(IF(AVERAGEIF('📋 Data &amp; Predictions'!$B$4:$B$77,A17,'📋 Data &amp; Predictions'!$I$4:$I$77)=0,45.5,AVERAGEIF('📋 Data &amp; Predictions'!$B$4:$B$77,A17,'📋 Data &amp; Predictions'!$I$4:$I$77)),45.5)</f>
        <v>45.5</v>
      </c>
      <c r="H17" s="67">
        <f t="shared" si="1"/>
        <v>9.48026948989412</v>
      </c>
      <c r="I17" s="64">
        <f>IFERROR(ROUND((H17/10)*0.5+(C17/200)*0.3+(E17/10)*0.2,1),12)</f>
        <v>0.6</v>
      </c>
      <c r="J17" s="64" t="s">
        <v>143</v>
      </c>
    </row>
    <row r="18" ht="15" customHeight="1" spans="1:10">
      <c r="A18" s="17" t="s">
        <v>61</v>
      </c>
      <c r="B18" s="18">
        <f>COUNTIF('📋 Data &amp; Predictions'!$B$4:$B$77,A18)</f>
        <v>1</v>
      </c>
      <c r="C18" s="19">
        <f>IFERROR(IF(AVERAGEIF('📋 Data &amp; Predictions'!$B$4:$B$77,A18,'📋 Data &amp; Predictions'!$H$4:$H$77)=0,41.45,AVERAGEIF('📋 Data &amp; Predictions'!$B$4:$B$77,A18,'📋 Data &amp; Predictions'!$H$4:$H$77)),41.45)</f>
        <v>179.99</v>
      </c>
      <c r="D18" s="18">
        <f>IFERROR(IF(AVERAGEIF('📋 Data &amp; Predictions'!$B$4:$B$77,A18,'📋 Data &amp; Predictions'!$E$4:$E$77)=0,422,AVERAGEIF('📋 Data &amp; Predictions'!$B$4:$B$77,A18,'📋 Data &amp; Predictions'!$E$4:$E$77)),422)</f>
        <v>2064</v>
      </c>
      <c r="E18" s="18">
        <f>IFERROR(IF(AVERAGEIF('📋 Data &amp; Predictions'!$B$4:$B$77,A18,'📋 Data &amp; Predictions'!$F$4:$F$77)=0,2.9,AVERAGEIF('📋 Data &amp; Predictions'!$B$4:$B$77,A18,'📋 Data &amp; Predictions'!$F$4:$F$77)),2.9)</f>
        <v>6</v>
      </c>
      <c r="F18" s="61">
        <f t="shared" si="0"/>
        <v>0.0872044573643411</v>
      </c>
      <c r="G18" s="19">
        <f>IFERROR(IF(AVERAGEIF('📋 Data &amp; Predictions'!$B$4:$B$77,A18,'📋 Data &amp; Predictions'!$I$4:$I$77)=0,73.63,AVERAGEIF('📋 Data &amp; Predictions'!$B$4:$B$77,A18,'📋 Data &amp; Predictions'!$I$4:$I$77)),73.63)</f>
        <v>304.13</v>
      </c>
      <c r="H18" s="68">
        <f t="shared" si="1"/>
        <v>68.97049836102</v>
      </c>
      <c r="I18" s="18">
        <f>IFERROR(ROUND((H18/10)*0.5+(C18/200)*0.3+(E18/10)*0.2,1),29.9)</f>
        <v>3.8</v>
      </c>
      <c r="J18" s="18" t="s">
        <v>141</v>
      </c>
    </row>
    <row r="19" ht="15" customHeight="1" spans="1:10">
      <c r="A19" s="52" t="s">
        <v>148</v>
      </c>
      <c r="B19" s="53">
        <f>COUNTIF('📋 Data &amp; Predictions'!$B$4:$B$77,A19)</f>
        <v>0</v>
      </c>
      <c r="C19" s="54">
        <f>IFERROR(IF(AVERAGEIF('📋 Data &amp; Predictions'!$B$4:$B$77,A19,'📋 Data &amp; Predictions'!$H$4:$H$77)=0,40.82,AVERAGEIF('📋 Data &amp; Predictions'!$B$4:$B$77,A19,'📋 Data &amp; Predictions'!$H$4:$H$77)),40.82)</f>
        <v>40.82</v>
      </c>
      <c r="D19" s="53">
        <f>IFERROR(IF(AVERAGEIF('📋 Data &amp; Predictions'!$B$4:$B$77,A19,'📋 Data &amp; Predictions'!$E$4:$E$77)=0,485,AVERAGEIF('📋 Data &amp; Predictions'!$B$4:$B$77,A19,'📋 Data &amp; Predictions'!$E$4:$E$77)),485)</f>
        <v>485</v>
      </c>
      <c r="E19" s="53">
        <f>IFERROR(IF(AVERAGEIF('📋 Data &amp; Predictions'!$B$4:$B$77,A19,'📋 Data &amp; Predictions'!$F$4:$F$77)=0,0.3,AVERAGEIF('📋 Data &amp; Predictions'!$B$4:$B$77,A19,'📋 Data &amp; Predictions'!$F$4:$F$77)),0.3)</f>
        <v>0.3</v>
      </c>
      <c r="F19" s="55">
        <f t="shared" si="0"/>
        <v>0.0841649484536083</v>
      </c>
      <c r="G19" s="54">
        <f>IFERROR(IF(AVERAGEIF('📋 Data &amp; Predictions'!$B$4:$B$77,A19,'📋 Data &amp; Predictions'!$I$4:$I$77)=0,186.44,AVERAGEIF('📋 Data &amp; Predictions'!$B$4:$B$77,A19,'📋 Data &amp; Predictions'!$I$4:$I$77)),186.44)</f>
        <v>186.44</v>
      </c>
      <c r="H19" s="56">
        <f t="shared" si="1"/>
        <v>356.736893679569</v>
      </c>
      <c r="I19" s="53">
        <f>IFERROR(ROUND((H19/10)*0.5+(C19/200)*0.3+(E19/10)*0.2,1),60.2)</f>
        <v>17.9</v>
      </c>
      <c r="J19" s="53" t="s">
        <v>135</v>
      </c>
    </row>
    <row r="20" ht="15" customHeight="1" spans="1:10">
      <c r="A20" s="17" t="s">
        <v>51</v>
      </c>
      <c r="B20" s="18">
        <f>COUNTIF('📋 Data &amp; Predictions'!$B$4:$B$77,A20)</f>
        <v>5</v>
      </c>
      <c r="C20" s="19">
        <f>IFERROR(IF(AVERAGEIF('📋 Data &amp; Predictions'!$B$4:$B$77,A20,'📋 Data &amp; Predictions'!$H$4:$H$77)=0,40.41,AVERAGEIF('📋 Data &amp; Predictions'!$B$4:$B$77,A20,'📋 Data &amp; Predictions'!$H$4:$H$77)),40.41)</f>
        <v>89.99</v>
      </c>
      <c r="D20" s="18">
        <f>IFERROR(IF(AVERAGEIF('📋 Data &amp; Predictions'!$B$4:$B$77,A20,'📋 Data &amp; Predictions'!$E$4:$E$77)=0,411,AVERAGEIF('📋 Data &amp; Predictions'!$B$4:$B$77,A20,'📋 Data &amp; Predictions'!$E$4:$E$77)),411)</f>
        <v>886.8</v>
      </c>
      <c r="E20" s="18">
        <f>IFERROR(IF(AVERAGEIF('📋 Data &amp; Predictions'!$B$4:$B$77,A20,'📋 Data &amp; Predictions'!$F$4:$F$77)=0,2.7,AVERAGEIF('📋 Data &amp; Predictions'!$B$4:$B$77,A20,'📋 Data &amp; Predictions'!$F$4:$F$77)),2.7)</f>
        <v>3.4</v>
      </c>
      <c r="F20" s="61">
        <f t="shared" si="0"/>
        <v>0.101477221470456</v>
      </c>
      <c r="G20" s="19">
        <f>IFERROR(IF(AVERAGEIF('📋 Data &amp; Predictions'!$B$4:$B$77,A20,'📋 Data &amp; Predictions'!$I$4:$I$77)=0,132.93,AVERAGEIF('📋 Data &amp; Predictions'!$B$4:$B$77,A20,'📋 Data &amp; Predictions'!$I$4:$I$77)),132.93)</f>
        <v>223.332</v>
      </c>
      <c r="H20" s="62">
        <f t="shared" si="1"/>
        <v>148.174241582398</v>
      </c>
      <c r="I20" s="18">
        <f>IFERROR(ROUND((H20/10)*0.5+(C20/200)*0.3+(E20/10)*0.2,1),39.4)</f>
        <v>7.6</v>
      </c>
      <c r="J20" s="18" t="s">
        <v>144</v>
      </c>
    </row>
    <row r="21" ht="15" customHeight="1" spans="1:10">
      <c r="A21" s="5" t="s">
        <v>149</v>
      </c>
      <c r="B21" s="6">
        <f>COUNTIF('📋 Data &amp; Predictions'!$B$4:$B$77,A21)</f>
        <v>0</v>
      </c>
      <c r="C21" s="58">
        <f>IFERROR(IF(AVERAGEIF('📋 Data &amp; Predictions'!$B$4:$B$77,A21,'📋 Data &amp; Predictions'!$H$4:$H$77)=0,38.12,AVERAGEIF('📋 Data &amp; Predictions'!$B$4:$B$77,A21,'📋 Data &amp; Predictions'!$H$4:$H$77)),38.12)</f>
        <v>38.12</v>
      </c>
      <c r="D21" s="6">
        <f>IFERROR(IF(AVERAGEIF('📋 Data &amp; Predictions'!$B$4:$B$77,A21,'📋 Data &amp; Predictions'!$E$4:$E$77)=0,369,AVERAGEIF('📋 Data &amp; Predictions'!$B$4:$B$77,A21,'📋 Data &amp; Predictions'!$E$4:$E$77)),369)</f>
        <v>369</v>
      </c>
      <c r="E21" s="6">
        <f>IFERROR(IF(AVERAGEIF('📋 Data &amp; Predictions'!$B$4:$B$77,A21,'📋 Data &amp; Predictions'!$F$4:$F$77)=0,1.5,AVERAGEIF('📋 Data &amp; Predictions'!$B$4:$B$77,A21,'📋 Data &amp; Predictions'!$F$4:$F$77)),1.5)</f>
        <v>1.5</v>
      </c>
      <c r="F21" s="59">
        <f t="shared" si="0"/>
        <v>0.103306233062331</v>
      </c>
      <c r="G21" s="58">
        <f>IFERROR(IF(AVERAGEIF('📋 Data &amp; Predictions'!$B$4:$B$77,A21,'📋 Data &amp; Predictions'!$I$4:$I$77)=0,106.55,AVERAGEIF('📋 Data &amp; Predictions'!$B$4:$B$77,A21,'📋 Data &amp; Predictions'!$I$4:$I$77)),106.55)</f>
        <v>106.55</v>
      </c>
      <c r="H21" s="60">
        <f t="shared" si="1"/>
        <v>179.512067156348</v>
      </c>
      <c r="I21" s="6">
        <f>IFERROR(ROUND((H21/10)*0.5+(C21/200)*0.3+(E21/10)*0.2,1),25.9)</f>
        <v>9.1</v>
      </c>
      <c r="J21" s="6" t="s">
        <v>139</v>
      </c>
    </row>
    <row r="22" ht="15" customHeight="1" spans="1:10">
      <c r="A22" s="17" t="s">
        <v>123</v>
      </c>
      <c r="B22" s="18">
        <f>COUNTIF('📋 Data &amp; Predictions'!$B$4:$B$77,A22)</f>
        <v>2</v>
      </c>
      <c r="C22" s="19">
        <f>IFERROR(IF(AVERAGEIF('📋 Data &amp; Predictions'!$B$4:$B$77,A22,'📋 Data &amp; Predictions'!$H$4:$H$77)=0,37.55,AVERAGEIF('📋 Data &amp; Predictions'!$B$4:$B$77,A22,'📋 Data &amp; Predictions'!$H$4:$H$77)),37.55)</f>
        <v>33.77</v>
      </c>
      <c r="D22" s="18">
        <f>IFERROR(IF(AVERAGEIF('📋 Data &amp; Predictions'!$B$4:$B$77,A22,'📋 Data &amp; Predictions'!$E$4:$E$77)=0,370,AVERAGEIF('📋 Data &amp; Predictions'!$B$4:$B$77,A22,'📋 Data &amp; Predictions'!$E$4:$E$77)),370)</f>
        <v>307</v>
      </c>
      <c r="E22" s="18">
        <f>IFERROR(IF(AVERAGEIF('📋 Data &amp; Predictions'!$B$4:$B$77,A22,'📋 Data &amp; Predictions'!$F$4:$F$77)=0,4.6,AVERAGEIF('📋 Data &amp; Predictions'!$B$4:$B$77,A22,'📋 Data &amp; Predictions'!$F$4:$F$77)),4.6)</f>
        <v>4.8</v>
      </c>
      <c r="F22" s="61">
        <f t="shared" si="0"/>
        <v>0.11</v>
      </c>
      <c r="G22" s="19">
        <f>IFERROR(IF(AVERAGEIF('📋 Data &amp; Predictions'!$B$4:$B$77,A22,'📋 Data &amp; Predictions'!$I$4:$I$77)=0,109.4,AVERAGEIF('📋 Data &amp; Predictions'!$B$4:$B$77,A22,'📋 Data &amp; Predictions'!$I$4:$I$77)),109.4)</f>
        <v>101.735</v>
      </c>
      <c r="H22" s="62">
        <f t="shared" si="1"/>
        <v>201.258513473497</v>
      </c>
      <c r="I22" s="18">
        <f>IFERROR(ROUND((H22/10)*0.5+(C22/200)*0.3+(E22/10)*0.2,1),34.4)</f>
        <v>10.2</v>
      </c>
      <c r="J22" s="18" t="s">
        <v>144</v>
      </c>
    </row>
    <row r="23" ht="15" customHeight="1" spans="1:10">
      <c r="A23" s="63" t="s">
        <v>150</v>
      </c>
      <c r="B23" s="64">
        <f>COUNTIF('📋 Data &amp; Predictions'!$B$4:$B$77,A23)</f>
        <v>0</v>
      </c>
      <c r="C23" s="65">
        <f>IFERROR(IF(AVERAGEIF('📋 Data &amp; Predictions'!$B$4:$B$77,A23,'📋 Data &amp; Predictions'!$H$4:$H$77)=0,36.49,AVERAGEIF('📋 Data &amp; Predictions'!$B$4:$B$77,A23,'📋 Data &amp; Predictions'!$H$4:$H$77)),36.49)</f>
        <v>36.49</v>
      </c>
      <c r="D23" s="64">
        <f>IFERROR(IF(AVERAGEIF('📋 Data &amp; Predictions'!$B$4:$B$77,A23,'📋 Data &amp; Predictions'!$E$4:$E$77)=0,310,AVERAGEIF('📋 Data &amp; Predictions'!$B$4:$B$77,A23,'📋 Data &amp; Predictions'!$E$4:$E$77)),310)</f>
        <v>310</v>
      </c>
      <c r="E23" s="64">
        <f>IFERROR(IF(AVERAGEIF('📋 Data &amp; Predictions'!$B$4:$B$77,A23,'📋 Data &amp; Predictions'!$F$4:$F$77)=0,3.9,AVERAGEIF('📋 Data &amp; Predictions'!$B$4:$B$77,A23,'📋 Data &amp; Predictions'!$F$4:$F$77)),3.9)</f>
        <v>3.9</v>
      </c>
      <c r="F23" s="66">
        <f t="shared" si="0"/>
        <v>0.117709677419355</v>
      </c>
      <c r="G23" s="65">
        <f>IFERROR(IF(AVERAGEIF('📋 Data &amp; Predictions'!$B$4:$B$77,A23,'📋 Data &amp; Predictions'!$I$4:$I$77)=0,38.02,AVERAGEIF('📋 Data &amp; Predictions'!$B$4:$B$77,A23,'📋 Data &amp; Predictions'!$I$4:$I$77)),38.02)</f>
        <v>38.02</v>
      </c>
      <c r="H23" s="67">
        <f t="shared" si="1"/>
        <v>4.19292956974514</v>
      </c>
      <c r="I23" s="64">
        <f>IFERROR(ROUND((H23/10)*0.5+(C23/200)*0.3+(E23/10)*0.2,1),13.3)</f>
        <v>0.3</v>
      </c>
      <c r="J23" s="64" t="s">
        <v>143</v>
      </c>
    </row>
    <row r="24" ht="15" customHeight="1" spans="1:10">
      <c r="A24" s="63" t="s">
        <v>151</v>
      </c>
      <c r="B24" s="64">
        <f>COUNTIF('📋 Data &amp; Predictions'!$B$4:$B$77,A24)</f>
        <v>0</v>
      </c>
      <c r="C24" s="65">
        <f>IFERROR(IF(AVERAGEIF('📋 Data &amp; Predictions'!$B$4:$B$77,A24,'📋 Data &amp; Predictions'!$H$4:$H$77)=0,35.85,AVERAGEIF('📋 Data &amp; Predictions'!$B$4:$B$77,A24,'📋 Data &amp; Predictions'!$H$4:$H$77)),35.85)</f>
        <v>35.85</v>
      </c>
      <c r="D24" s="64">
        <f>IFERROR(IF(AVERAGEIF('📋 Data &amp; Predictions'!$B$4:$B$77,A24,'📋 Data &amp; Predictions'!$E$4:$E$77)=0,302,AVERAGEIF('📋 Data &amp; Predictions'!$B$4:$B$77,A24,'📋 Data &amp; Predictions'!$E$4:$E$77)),302)</f>
        <v>302</v>
      </c>
      <c r="E24" s="64">
        <f>IFERROR(IF(AVERAGEIF('📋 Data &amp; Predictions'!$B$4:$B$77,A24,'📋 Data &amp; Predictions'!$F$4:$F$77)=0,3.6,AVERAGEIF('📋 Data &amp; Predictions'!$B$4:$B$77,A24,'📋 Data &amp; Predictions'!$F$4:$F$77)),3.6)</f>
        <v>3.6</v>
      </c>
      <c r="F24" s="66">
        <f t="shared" si="0"/>
        <v>0.118708609271523</v>
      </c>
      <c r="G24" s="65">
        <f>IFERROR(IF(AVERAGEIF('📋 Data &amp; Predictions'!$B$4:$B$77,A24,'📋 Data &amp; Predictions'!$I$4:$I$77)=0,67.12,AVERAGEIF('📋 Data &amp; Predictions'!$B$4:$B$77,A24,'📋 Data &amp; Predictions'!$I$4:$I$77)),67.12)</f>
        <v>67.12</v>
      </c>
      <c r="H24" s="67">
        <f t="shared" si="1"/>
        <v>87.2245467224547</v>
      </c>
      <c r="I24" s="64">
        <f>IFERROR(ROUND((H24/10)*0.5+(C24/200)*0.3+(E24/10)*0.2,1),22.5)</f>
        <v>4.5</v>
      </c>
      <c r="J24" s="64" t="s">
        <v>143</v>
      </c>
    </row>
    <row r="25" ht="15" customHeight="1" spans="1:10">
      <c r="A25" s="5" t="s">
        <v>152</v>
      </c>
      <c r="B25" s="6">
        <f>COUNTIF('📋 Data &amp; Predictions'!$B$4:$B$77,A25)</f>
        <v>0</v>
      </c>
      <c r="C25" s="58">
        <f>IFERROR(IF(AVERAGEIF('📋 Data &amp; Predictions'!$B$4:$B$77,A25,'📋 Data &amp; Predictions'!$H$4:$H$77)=0,35.68,AVERAGEIF('📋 Data &amp; Predictions'!$B$4:$B$77,A25,'📋 Data &amp; Predictions'!$H$4:$H$77)),35.68)</f>
        <v>35.68</v>
      </c>
      <c r="D25" s="6">
        <f>IFERROR(IF(AVERAGEIF('📋 Data &amp; Predictions'!$B$4:$B$77,A25,'📋 Data &amp; Predictions'!$E$4:$E$77)=0,267,AVERAGEIF('📋 Data &amp; Predictions'!$B$4:$B$77,A25,'📋 Data &amp; Predictions'!$E$4:$E$77)),267)</f>
        <v>267</v>
      </c>
      <c r="E25" s="6">
        <f>IFERROR(IF(AVERAGEIF('📋 Data &amp; Predictions'!$B$4:$B$77,A25,'📋 Data &amp; Predictions'!$F$4:$F$77)=0,2.7,AVERAGEIF('📋 Data &amp; Predictions'!$B$4:$B$77,A25,'📋 Data &amp; Predictions'!$F$4:$F$77)),2.7)</f>
        <v>2.7</v>
      </c>
      <c r="F25" s="59">
        <f t="shared" si="0"/>
        <v>0.133632958801498</v>
      </c>
      <c r="G25" s="58">
        <f>IFERROR(IF(AVERAGEIF('📋 Data &amp; Predictions'!$B$4:$B$77,A25,'📋 Data &amp; Predictions'!$I$4:$I$77)=0,83.83,AVERAGEIF('📋 Data &amp; Predictions'!$B$4:$B$77,A25,'📋 Data &amp; Predictions'!$I$4:$I$77)),83.83)</f>
        <v>83.83</v>
      </c>
      <c r="H25" s="60">
        <f t="shared" si="1"/>
        <v>134.949551569507</v>
      </c>
      <c r="I25" s="6">
        <f>IFERROR(ROUND((H25/10)*0.5+(C25/200)*0.3+(E25/10)*0.2,1),26.2)</f>
        <v>6.9</v>
      </c>
      <c r="J25" s="6" t="s">
        <v>139</v>
      </c>
    </row>
    <row r="26" ht="15" customHeight="1" spans="1:10">
      <c r="A26" s="17" t="s">
        <v>45</v>
      </c>
      <c r="B26" s="18">
        <f>COUNTIF('📋 Data &amp; Predictions'!$B$4:$B$77,A26)</f>
        <v>3</v>
      </c>
      <c r="C26" s="19">
        <f>IFERROR(IF(AVERAGEIF('📋 Data &amp; Predictions'!$B$4:$B$77,A26,'📋 Data &amp; Predictions'!$H$4:$H$77)=0,34.99,AVERAGEIF('📋 Data &amp; Predictions'!$B$4:$B$77,A26,'📋 Data &amp; Predictions'!$H$4:$H$77)),34.99)</f>
        <v>133.323333333333</v>
      </c>
      <c r="D26" s="18">
        <f>IFERROR(IF(AVERAGEIF('📋 Data &amp; Predictions'!$B$4:$B$77,A26,'📋 Data &amp; Predictions'!$E$4:$E$77)=0,327,AVERAGEIF('📋 Data &amp; Predictions'!$B$4:$B$77,A26,'📋 Data &amp; Predictions'!$E$4:$E$77)),327)</f>
        <v>1341</v>
      </c>
      <c r="E26" s="18">
        <f>IFERROR(IF(AVERAGEIF('📋 Data &amp; Predictions'!$B$4:$B$77,A26,'📋 Data &amp; Predictions'!$F$4:$F$77)=0,3.6,AVERAGEIF('📋 Data &amp; Predictions'!$B$4:$B$77,A26,'📋 Data &amp; Predictions'!$F$4:$F$77)),3.6)</f>
        <v>9</v>
      </c>
      <c r="F26" s="61">
        <f t="shared" si="0"/>
        <v>0.0994208302261994</v>
      </c>
      <c r="G26" s="19">
        <f>IFERROR(IF(AVERAGEIF('📋 Data &amp; Predictions'!$B$4:$B$77,A26,'📋 Data &amp; Predictions'!$I$4:$I$77)=0,126.7,AVERAGEIF('📋 Data &amp; Predictions'!$B$4:$B$77,A26,'📋 Data &amp; Predictions'!$I$4:$I$77)),126.7)</f>
        <v>375.833333333333</v>
      </c>
      <c r="H26" s="69">
        <f t="shared" si="1"/>
        <v>181.896142210666</v>
      </c>
      <c r="I26" s="18">
        <f>IFERROR(ROUND((H26/10)*0.5+(C26/200)*0.3+(E26/10)*0.2,1),40)</f>
        <v>9.5</v>
      </c>
      <c r="J26" s="18" t="s">
        <v>144</v>
      </c>
    </row>
    <row r="27" ht="15" customHeight="1" spans="1:10">
      <c r="A27" s="70" t="s">
        <v>49</v>
      </c>
      <c r="B27" s="71">
        <f>COUNTIF('📋 Data &amp; Predictions'!$B$4:$B$77,A27)</f>
        <v>3</v>
      </c>
      <c r="C27" s="72">
        <f>IFERROR(IF(AVERAGEIF('📋 Data &amp; Predictions'!$B$4:$B$77,A27,'📋 Data &amp; Predictions'!$H$4:$H$77)=0,34.84,AVERAGEIF('📋 Data &amp; Predictions'!$B$4:$B$77,A27,'📋 Data &amp; Predictions'!$H$4:$H$77)),34.84)</f>
        <v>138.99</v>
      </c>
      <c r="D27" s="71">
        <f>IFERROR(IF(AVERAGEIF('📋 Data &amp; Predictions'!$B$4:$B$77,A27,'📋 Data &amp; Predictions'!$E$4:$E$77)=0,243,AVERAGEIF('📋 Data &amp; Predictions'!$B$4:$B$77,A27,'📋 Data &amp; Predictions'!$E$4:$E$77)),243)</f>
        <v>1161.66666666667</v>
      </c>
      <c r="E27" s="71">
        <f>IFERROR(IF(AVERAGEIF('📋 Data &amp; Predictions'!$B$4:$B$77,A27,'📋 Data &amp; Predictions'!$F$4:$F$77)=0,4.1,AVERAGEIF('📋 Data &amp; Predictions'!$B$4:$B$77,A27,'📋 Data &amp; Predictions'!$F$4:$F$77)),4.1)</f>
        <v>8.66666666666667</v>
      </c>
      <c r="F27" s="73">
        <f t="shared" si="0"/>
        <v>0.119647058823529</v>
      </c>
      <c r="G27" s="72">
        <f>IFERROR(IF(AVERAGEIF('📋 Data &amp; Predictions'!$B$4:$B$77,A27,'📋 Data &amp; Predictions'!$I$4:$I$77)=0,129.03,AVERAGEIF('📋 Data &amp; Predictions'!$B$4:$B$77,A27,'📋 Data &amp; Predictions'!$I$4:$I$77)),129.03)</f>
        <v>534.633333333333</v>
      </c>
      <c r="H27" s="74">
        <f t="shared" si="1"/>
        <v>284.65597045351</v>
      </c>
      <c r="I27" s="71">
        <f>IFERROR(ROUND((H27/10)*0.5+(C27/200)*0.3+(E27/10)*0.2,1),40.6)</f>
        <v>14.6</v>
      </c>
      <c r="J27" s="71" t="s">
        <v>153</v>
      </c>
    </row>
    <row r="28" ht="15" customHeight="1" spans="1:10">
      <c r="A28" s="5" t="s">
        <v>75</v>
      </c>
      <c r="B28" s="6">
        <f>COUNTIF('📋 Data &amp; Predictions'!$B$4:$B$77,A28)</f>
        <v>5</v>
      </c>
      <c r="C28" s="58">
        <f>IFERROR(IF(AVERAGEIF('📋 Data &amp; Predictions'!$B$4:$B$77,A28,'📋 Data &amp; Predictions'!$H$4:$H$77)=0,34.67,AVERAGEIF('📋 Data &amp; Predictions'!$B$4:$B$77,A28,'📋 Data &amp; Predictions'!$H$4:$H$77)),34.67)</f>
        <v>134.99</v>
      </c>
      <c r="D28" s="6">
        <f>IFERROR(IF(AVERAGEIF('📋 Data &amp; Predictions'!$B$4:$B$77,A28,'📋 Data &amp; Predictions'!$E$4:$E$77)=0,267,AVERAGEIF('📋 Data &amp; Predictions'!$B$4:$B$77,A28,'📋 Data &amp; Predictions'!$E$4:$E$77)),267)</f>
        <v>651</v>
      </c>
      <c r="E28" s="6">
        <f>IFERROR(IF(AVERAGEIF('📋 Data &amp; Predictions'!$B$4:$B$77,A28,'📋 Data &amp; Predictions'!$F$4:$F$77)=0,2.6,AVERAGEIF('📋 Data &amp; Predictions'!$B$4:$B$77,A28,'📋 Data &amp; Predictions'!$F$4:$F$77)),2.6)</f>
        <v>3.8</v>
      </c>
      <c r="F28" s="59">
        <f t="shared" si="0"/>
        <v>0.207357910906298</v>
      </c>
      <c r="G28" s="58">
        <f>IFERROR(IF(AVERAGEIF('📋 Data &amp; Predictions'!$B$4:$B$77,A28,'📋 Data &amp; Predictions'!$I$4:$I$77)=0,64.06,AVERAGEIF('📋 Data &amp; Predictions'!$B$4:$B$77,A28,'📋 Data &amp; Predictions'!$I$4:$I$77)),64.06)</f>
        <v>157.112</v>
      </c>
      <c r="H28" s="60">
        <f t="shared" si="1"/>
        <v>16.3878805837469</v>
      </c>
      <c r="I28" s="6">
        <f>IFERROR(ROUND((H28/10)*0.5+(C28/200)*0.3+(E28/10)*0.2,1),19.9)</f>
        <v>1.1</v>
      </c>
      <c r="J28" s="6" t="s">
        <v>154</v>
      </c>
    </row>
    <row r="29" ht="15" customHeight="1" spans="1:10">
      <c r="A29" s="63" t="s">
        <v>155</v>
      </c>
      <c r="B29" s="64">
        <f>COUNTIF('📋 Data &amp; Predictions'!$B$4:$B$77,A29)</f>
        <v>0</v>
      </c>
      <c r="C29" s="65">
        <f>IFERROR(IF(AVERAGEIF('📋 Data &amp; Predictions'!$B$4:$B$77,A29,'📋 Data &amp; Predictions'!$H$4:$H$77)=0,33.88,AVERAGEIF('📋 Data &amp; Predictions'!$B$4:$B$77,A29,'📋 Data &amp; Predictions'!$H$4:$H$77)),33.88)</f>
        <v>33.88</v>
      </c>
      <c r="D29" s="64">
        <f>IFERROR(IF(AVERAGEIF('📋 Data &amp; Predictions'!$B$4:$B$77,A29,'📋 Data &amp; Predictions'!$E$4:$E$77)=0,321,AVERAGEIF('📋 Data &amp; Predictions'!$B$4:$B$77,A29,'📋 Data &amp; Predictions'!$E$4:$E$77)),321)</f>
        <v>321</v>
      </c>
      <c r="E29" s="64">
        <f>IFERROR(IF(AVERAGEIF('📋 Data &amp; Predictions'!$B$4:$B$77,A29,'📋 Data &amp; Predictions'!$F$4:$F$77)=0,3.5,AVERAGEIF('📋 Data &amp; Predictions'!$B$4:$B$77,A29,'📋 Data &amp; Predictions'!$F$4:$F$77)),3.5)</f>
        <v>3.5</v>
      </c>
      <c r="F29" s="66">
        <f t="shared" si="0"/>
        <v>0.105545171339564</v>
      </c>
      <c r="G29" s="65">
        <f>IFERROR(IF(AVERAGEIF('📋 Data &amp; Predictions'!$B$4:$B$77,A29,'📋 Data &amp; Predictions'!$I$4:$I$77)=0,34.96,AVERAGEIF('📋 Data &amp; Predictions'!$B$4:$B$77,A29,'📋 Data &amp; Predictions'!$I$4:$I$77)),34.96)</f>
        <v>34.96</v>
      </c>
      <c r="H29" s="67">
        <f t="shared" si="1"/>
        <v>3.18772136953955</v>
      </c>
      <c r="I29" s="64">
        <f>IFERROR(ROUND((H29/10)*0.5+(C29/200)*0.3+(E29/10)*0.2,1),9.3)</f>
        <v>0.3</v>
      </c>
      <c r="J29" s="64" t="s">
        <v>143</v>
      </c>
    </row>
    <row r="30" ht="15" customHeight="1" spans="1:10">
      <c r="A30" s="75" t="s">
        <v>156</v>
      </c>
      <c r="B30" s="76">
        <f>COUNTIF('📋 Data &amp; Predictions'!$B$4:$B$77,A30)</f>
        <v>0</v>
      </c>
      <c r="C30" s="77">
        <f>IFERROR(IF(AVERAGEIF('📋 Data &amp; Predictions'!$B$4:$B$77,A30,'📋 Data &amp; Predictions'!$H$4:$H$77)=0,33.56,AVERAGEIF('📋 Data &amp; Predictions'!$B$4:$B$77,A30,'📋 Data &amp; Predictions'!$H$4:$H$77)),33.56)</f>
        <v>33.56</v>
      </c>
      <c r="D30" s="76">
        <f>IFERROR(IF(AVERAGEIF('📋 Data &amp; Predictions'!$B$4:$B$77,A30,'📋 Data &amp; Predictions'!$E$4:$E$77)=0,304,AVERAGEIF('📋 Data &amp; Predictions'!$B$4:$B$77,A30,'📋 Data &amp; Predictions'!$E$4:$E$77)),304)</f>
        <v>304</v>
      </c>
      <c r="E30" s="76">
        <f>IFERROR(IF(AVERAGEIF('📋 Data &amp; Predictions'!$B$4:$B$77,A30,'📋 Data &amp; Predictions'!$F$4:$F$77)=0,2.8,AVERAGEIF('📋 Data &amp; Predictions'!$B$4:$B$77,A30,'📋 Data &amp; Predictions'!$F$4:$F$77)),2.8)</f>
        <v>2.8</v>
      </c>
      <c r="F30" s="78">
        <f t="shared" si="0"/>
        <v>0.110394736842105</v>
      </c>
      <c r="G30" s="77">
        <f>IFERROR(IF(AVERAGEIF('📋 Data &amp; Predictions'!$B$4:$B$77,A30,'📋 Data &amp; Predictions'!$I$4:$I$77)=0,45.73,AVERAGEIF('📋 Data &amp; Predictions'!$B$4:$B$77,A30,'📋 Data &amp; Predictions'!$I$4:$I$77)),45.73)</f>
        <v>45.73</v>
      </c>
      <c r="H30" s="79">
        <f t="shared" si="1"/>
        <v>36.2634088200238</v>
      </c>
      <c r="I30" s="76">
        <f>IFERROR(ROUND((H30/10)*0.5+(C30/200)*0.3+(E30/10)*0.2,1),16.1)</f>
        <v>1.9</v>
      </c>
      <c r="J30" s="76" t="s">
        <v>157</v>
      </c>
    </row>
    <row r="31" ht="15" customHeight="1" spans="1:10">
      <c r="A31" s="63" t="s">
        <v>158</v>
      </c>
      <c r="B31" s="64">
        <f>COUNTIF('📋 Data &amp; Predictions'!$B$4:$B$77,A31)</f>
        <v>0</v>
      </c>
      <c r="C31" s="65">
        <f>IFERROR(IF(AVERAGEIF('📋 Data &amp; Predictions'!$B$4:$B$77,A31,'📋 Data &amp; Predictions'!$H$4:$H$77)=0,32.49,AVERAGEIF('📋 Data &amp; Predictions'!$B$4:$B$77,A31,'📋 Data &amp; Predictions'!$H$4:$H$77)),32.49)</f>
        <v>32.49</v>
      </c>
      <c r="D31" s="64">
        <f>IFERROR(IF(AVERAGEIF('📋 Data &amp; Predictions'!$B$4:$B$77,A31,'📋 Data &amp; Predictions'!$E$4:$E$77)=0,312,AVERAGEIF('📋 Data &amp; Predictions'!$B$4:$B$77,A31,'📋 Data &amp; Predictions'!$E$4:$E$77)),312)</f>
        <v>312</v>
      </c>
      <c r="E31" s="64">
        <f>IFERROR(IF(AVERAGEIF('📋 Data &amp; Predictions'!$B$4:$B$77,A31,'📋 Data &amp; Predictions'!$F$4:$F$77)=0,3.8,AVERAGEIF('📋 Data &amp; Predictions'!$B$4:$B$77,A31,'📋 Data &amp; Predictions'!$F$4:$F$77)),3.8)</f>
        <v>3.8</v>
      </c>
      <c r="F31" s="66">
        <f t="shared" si="0"/>
        <v>0.104134615384615</v>
      </c>
      <c r="G31" s="65">
        <f>IFERROR(IF(AVERAGEIF('📋 Data &amp; Predictions'!$B$4:$B$77,A31,'📋 Data &amp; Predictions'!$I$4:$I$77)=0,29.28,AVERAGEIF('📋 Data &amp; Predictions'!$B$4:$B$77,A31,'📋 Data &amp; Predictions'!$I$4:$I$77)),29.28)</f>
        <v>29.28</v>
      </c>
      <c r="H31" s="67">
        <f t="shared" si="1"/>
        <v>-9.87996306555863</v>
      </c>
      <c r="I31" s="64">
        <f>IFERROR(ROUND((H31/10)*0.5+(C31/200)*0.3+(E31/10)*0.2,1),9.1)</f>
        <v>-0.4</v>
      </c>
      <c r="J31" s="64" t="s">
        <v>143</v>
      </c>
    </row>
    <row r="32" ht="15" customHeight="1" spans="1:10">
      <c r="A32" s="17" t="s">
        <v>30</v>
      </c>
      <c r="B32" s="18">
        <f>COUNTIF('📋 Data &amp; Predictions'!$B$4:$B$77,A32)</f>
        <v>1</v>
      </c>
      <c r="C32" s="19">
        <f>IFERROR(IF(AVERAGEIF('📋 Data &amp; Predictions'!$B$4:$B$77,A32,'📋 Data &amp; Predictions'!$H$4:$H$77)=0,31.3,AVERAGEIF('📋 Data &amp; Predictions'!$B$4:$B$77,A32,'📋 Data &amp; Predictions'!$H$4:$H$77)),31.3)</f>
        <v>31.3</v>
      </c>
      <c r="D32" s="18">
        <f>IFERROR(IF(AVERAGEIF('📋 Data &amp; Predictions'!$B$4:$B$77,A32,'📋 Data &amp; Predictions'!$E$4:$E$77)=0,160,AVERAGEIF('📋 Data &amp; Predictions'!$B$4:$B$77,A32,'📋 Data &amp; Predictions'!$E$4:$E$77)),160)</f>
        <v>160</v>
      </c>
      <c r="E32" s="18">
        <f>IFERROR(IF(AVERAGEIF('📋 Data &amp; Predictions'!$B$4:$B$77,A32,'📋 Data &amp; Predictions'!$F$4:$F$77)=0,2.1,AVERAGEIF('📋 Data &amp; Predictions'!$B$4:$B$77,A32,'📋 Data &amp; Predictions'!$F$4:$F$77)),2.1)</f>
        <v>2</v>
      </c>
      <c r="F32" s="61">
        <f t="shared" si="0"/>
        <v>0.195625</v>
      </c>
      <c r="G32" s="19">
        <f>IFERROR(IF(AVERAGEIF('📋 Data &amp; Predictions'!$B$4:$B$77,A32,'📋 Data &amp; Predictions'!$I$4:$I$77)=0,44.72,AVERAGEIF('📋 Data &amp; Predictions'!$B$4:$B$77,A32,'📋 Data &amp; Predictions'!$I$4:$I$77)),44.72)</f>
        <v>180</v>
      </c>
      <c r="H32" s="69">
        <f t="shared" si="1"/>
        <v>475.079872204473</v>
      </c>
      <c r="I32" s="18">
        <f>IFERROR(ROUND((H32/10)*0.5+(C32/200)*0.3+(E32/10)*0.2,1),55.7)</f>
        <v>23.8</v>
      </c>
      <c r="J32" s="18" t="s">
        <v>144</v>
      </c>
    </row>
    <row r="33" ht="15" customHeight="1" spans="1:10">
      <c r="A33" s="63" t="s">
        <v>159</v>
      </c>
      <c r="B33" s="64">
        <f>COUNTIF('📋 Data &amp; Predictions'!$B$4:$B$77,A33)</f>
        <v>0</v>
      </c>
      <c r="C33" s="65">
        <f>IFERROR(IF(AVERAGEIF('📋 Data &amp; Predictions'!$B$4:$B$77,A33,'📋 Data &amp; Predictions'!$H$4:$H$77)=0,30.35,AVERAGEIF('📋 Data &amp; Predictions'!$B$4:$B$77,A33,'📋 Data &amp; Predictions'!$H$4:$H$77)),30.35)</f>
        <v>30.35</v>
      </c>
      <c r="D33" s="64">
        <f>IFERROR(IF(AVERAGEIF('📋 Data &amp; Predictions'!$B$4:$B$77,A33,'📋 Data &amp; Predictions'!$E$4:$E$77)=0,313,AVERAGEIF('📋 Data &amp; Predictions'!$B$4:$B$77,A33,'📋 Data &amp; Predictions'!$E$4:$E$77)),313)</f>
        <v>313</v>
      </c>
      <c r="E33" s="64">
        <f>IFERROR(IF(AVERAGEIF('📋 Data &amp; Predictions'!$B$4:$B$77,A33,'📋 Data &amp; Predictions'!$F$4:$F$77)=0,2.9,AVERAGEIF('📋 Data &amp; Predictions'!$B$4:$B$77,A33,'📋 Data &amp; Predictions'!$F$4:$F$77)),2.9)</f>
        <v>2.9</v>
      </c>
      <c r="F33" s="66">
        <f t="shared" si="0"/>
        <v>0.096964856230032</v>
      </c>
      <c r="G33" s="65">
        <f>IFERROR(IF(AVERAGEIF('📋 Data &amp; Predictions'!$B$4:$B$77,A33,'📋 Data &amp; Predictions'!$I$4:$I$77)=0,82.09,AVERAGEIF('📋 Data &amp; Predictions'!$B$4:$B$77,A33,'📋 Data &amp; Predictions'!$I$4:$I$77)),82.09)</f>
        <v>82.09</v>
      </c>
      <c r="H33" s="67">
        <f t="shared" si="1"/>
        <v>170.477759472817</v>
      </c>
      <c r="I33" s="64">
        <f>IFERROR(ROUND((H33/10)*0.5+(C33/200)*0.3+(E33/10)*0.2,1),25.6)</f>
        <v>8.6</v>
      </c>
      <c r="J33" s="64" t="s">
        <v>143</v>
      </c>
    </row>
    <row r="34" ht="15" customHeight="1" spans="1:10">
      <c r="A34" s="63" t="s">
        <v>160</v>
      </c>
      <c r="B34" s="64">
        <f>COUNTIF('📋 Data &amp; Predictions'!$B$4:$B$77,A34)</f>
        <v>0</v>
      </c>
      <c r="C34" s="65">
        <f>IFERROR(IF(AVERAGEIF('📋 Data &amp; Predictions'!$B$4:$B$77,A34,'📋 Data &amp; Predictions'!$H$4:$H$77)=0,29.7,AVERAGEIF('📋 Data &amp; Predictions'!$B$4:$B$77,A34,'📋 Data &amp; Predictions'!$H$4:$H$77)),29.7)</f>
        <v>29.7</v>
      </c>
      <c r="D34" s="64">
        <f>IFERROR(IF(AVERAGEIF('📋 Data &amp; Predictions'!$B$4:$B$77,A34,'📋 Data &amp; Predictions'!$E$4:$E$77)=0,247,AVERAGEIF('📋 Data &amp; Predictions'!$B$4:$B$77,A34,'📋 Data &amp; Predictions'!$E$4:$E$77)),247)</f>
        <v>247</v>
      </c>
      <c r="E34" s="64">
        <f>IFERROR(IF(AVERAGEIF('📋 Data &amp; Predictions'!$B$4:$B$77,A34,'📋 Data &amp; Predictions'!$F$4:$F$77)=0,1.4,AVERAGEIF('📋 Data &amp; Predictions'!$B$4:$B$77,A34,'📋 Data &amp; Predictions'!$F$4:$F$77)),1.4)</f>
        <v>1.4</v>
      </c>
      <c r="F34" s="66">
        <f t="shared" si="0"/>
        <v>0.120242914979757</v>
      </c>
      <c r="G34" s="65">
        <f>IFERROR(IF(AVERAGEIF('📋 Data &amp; Predictions'!$B$4:$B$77,A34,'📋 Data &amp; Predictions'!$I$4:$I$77)=0,32.04,AVERAGEIF('📋 Data &amp; Predictions'!$B$4:$B$77,A34,'📋 Data &amp; Predictions'!$I$4:$I$77)),32.04)</f>
        <v>32.04</v>
      </c>
      <c r="H34" s="67">
        <f t="shared" si="1"/>
        <v>7.87878787878788</v>
      </c>
      <c r="I34" s="64">
        <f>IFERROR(ROUND((H34/10)*0.5+(C34/200)*0.3+(E34/10)*0.2,1),9.2)</f>
        <v>0.5</v>
      </c>
      <c r="J34" s="64" t="s">
        <v>143</v>
      </c>
    </row>
    <row r="35" ht="15" customHeight="1" spans="1:10">
      <c r="A35" s="17" t="s">
        <v>161</v>
      </c>
      <c r="B35" s="18">
        <f>COUNTIF('📋 Data &amp; Predictions'!$B$4:$B$77,A35)</f>
        <v>1</v>
      </c>
      <c r="C35" s="19">
        <f>IFERROR(IF(AVERAGEIF('📋 Data &amp; Predictions'!$B$4:$B$77,A35,'📋 Data &amp; Predictions'!$H$4:$H$77)=0,28.74,AVERAGEIF('📋 Data &amp; Predictions'!$B$4:$B$77,A35,'📋 Data &amp; Predictions'!$H$4:$H$77)),28.74)</f>
        <v>28.74</v>
      </c>
      <c r="D35" s="18">
        <f>IFERROR(IF(AVERAGEIF('📋 Data &amp; Predictions'!$B$4:$B$77,A35,'📋 Data &amp; Predictions'!$E$4:$E$77)=0,255,AVERAGEIF('📋 Data &amp; Predictions'!$B$4:$B$77,A35,'📋 Data &amp; Predictions'!$E$4:$E$77)),255)</f>
        <v>255</v>
      </c>
      <c r="E35" s="18">
        <f>IFERROR(IF(AVERAGEIF('📋 Data &amp; Predictions'!$B$4:$B$77,A35,'📋 Data &amp; Predictions'!$F$4:$F$77)=0,4.2,AVERAGEIF('📋 Data &amp; Predictions'!$B$4:$B$77,A35,'📋 Data &amp; Predictions'!$F$4:$F$77)),4.2)</f>
        <v>4.2</v>
      </c>
      <c r="F35" s="61">
        <f t="shared" si="0"/>
        <v>0.112705882352941</v>
      </c>
      <c r="G35" s="19">
        <f>IFERROR(IF(AVERAGEIF('📋 Data &amp; Predictions'!$B$4:$B$77,A35,'📋 Data &amp; Predictions'!$I$4:$I$77)=0,94.42,AVERAGEIF('📋 Data &amp; Predictions'!$B$4:$B$77,A35,'📋 Data &amp; Predictions'!$I$4:$I$77)),94.42)</f>
        <v>94.42</v>
      </c>
      <c r="H35" s="62">
        <f t="shared" si="1"/>
        <v>228.531663187196</v>
      </c>
      <c r="I35" s="18">
        <f>IFERROR(ROUND((H35/10)*0.5+(C35/200)*0.3+(E35/10)*0.2,1),34.9)</f>
        <v>11.6</v>
      </c>
      <c r="J35" s="18" t="s">
        <v>144</v>
      </c>
    </row>
    <row r="36" ht="15" customHeight="1" spans="1:10">
      <c r="A36" s="63" t="s">
        <v>162</v>
      </c>
      <c r="B36" s="64">
        <f>COUNTIF('📋 Data &amp; Predictions'!$B$4:$B$77,A36)</f>
        <v>0</v>
      </c>
      <c r="C36" s="65">
        <f>IFERROR(IF(AVERAGEIF('📋 Data &amp; Predictions'!$B$4:$B$77,A36,'📋 Data &amp; Predictions'!$H$4:$H$77)=0,28.08,AVERAGEIF('📋 Data &amp; Predictions'!$B$4:$B$77,A36,'📋 Data &amp; Predictions'!$H$4:$H$77)),28.08)</f>
        <v>28.08</v>
      </c>
      <c r="D36" s="64">
        <f>IFERROR(IF(AVERAGEIF('📋 Data &amp; Predictions'!$B$4:$B$77,A36,'📋 Data &amp; Predictions'!$E$4:$E$77)=0,247,AVERAGEIF('📋 Data &amp; Predictions'!$B$4:$B$77,A36,'📋 Data &amp; Predictions'!$E$4:$E$77)),247)</f>
        <v>247</v>
      </c>
      <c r="E36" s="64">
        <f>IFERROR(IF(AVERAGEIF('📋 Data &amp; Predictions'!$B$4:$B$77,A36,'📋 Data &amp; Predictions'!$F$4:$F$77)=0,0,AVERAGEIF('📋 Data &amp; Predictions'!$B$4:$B$77,A36,'📋 Data &amp; Predictions'!$F$4:$F$77)),0)</f>
        <v>0</v>
      </c>
      <c r="F36" s="66">
        <f t="shared" si="0"/>
        <v>0.113684210526316</v>
      </c>
      <c r="G36" s="65">
        <f>IFERROR(IF(AVERAGEIF('📋 Data &amp; Predictions'!$B$4:$B$77,A36,'📋 Data &amp; Predictions'!$I$4:$I$77)=0,40.17,AVERAGEIF('📋 Data &amp; Predictions'!$B$4:$B$77,A36,'📋 Data &amp; Predictions'!$I$4:$I$77)),40.17)</f>
        <v>40.17</v>
      </c>
      <c r="H36" s="67">
        <f t="shared" si="1"/>
        <v>43.0555555555556</v>
      </c>
      <c r="I36" s="64">
        <f>IFERROR(ROUND((H36/10)*0.5+(C36/200)*0.3+(E36/10)*0.2,1),14.3)</f>
        <v>2.2</v>
      </c>
      <c r="J36" s="64" t="s">
        <v>143</v>
      </c>
    </row>
    <row r="37" ht="15" customHeight="1" spans="1:10">
      <c r="A37" s="63" t="s">
        <v>163</v>
      </c>
      <c r="B37" s="64">
        <f>COUNTIF('📋 Data &amp; Predictions'!$B$4:$B$77,A37)</f>
        <v>0</v>
      </c>
      <c r="C37" s="65">
        <f>IFERROR(IF(AVERAGEIF('📋 Data &amp; Predictions'!$B$4:$B$77,A37,'📋 Data &amp; Predictions'!$H$4:$H$77)=0,27.19,AVERAGEIF('📋 Data &amp; Predictions'!$B$4:$B$77,A37,'📋 Data &amp; Predictions'!$H$4:$H$77)),27.19)</f>
        <v>27.19</v>
      </c>
      <c r="D37" s="64">
        <f>IFERROR(IF(AVERAGEIF('📋 Data &amp; Predictions'!$B$4:$B$77,A37,'📋 Data &amp; Predictions'!$E$4:$E$77)=0,206,AVERAGEIF('📋 Data &amp; Predictions'!$B$4:$B$77,A37,'📋 Data &amp; Predictions'!$E$4:$E$77)),206)</f>
        <v>206</v>
      </c>
      <c r="E37" s="64">
        <f>IFERROR(IF(AVERAGEIF('📋 Data &amp; Predictions'!$B$4:$B$77,A37,'📋 Data &amp; Predictions'!$F$4:$F$77)=0,2.7,AVERAGEIF('📋 Data &amp; Predictions'!$B$4:$B$77,A37,'📋 Data &amp; Predictions'!$F$4:$F$77)),2.7)</f>
        <v>2.7</v>
      </c>
      <c r="F37" s="66">
        <f t="shared" si="0"/>
        <v>0.131990291262136</v>
      </c>
      <c r="G37" s="65">
        <f>IFERROR(IF(AVERAGEIF('📋 Data &amp; Predictions'!$B$4:$B$77,A37,'📋 Data &amp; Predictions'!$I$4:$I$77)=0,34.72,AVERAGEIF('📋 Data &amp; Predictions'!$B$4:$B$77,A37,'📋 Data &amp; Predictions'!$I$4:$I$77)),34.72)</f>
        <v>34.72</v>
      </c>
      <c r="H37" s="67">
        <f t="shared" si="1"/>
        <v>27.6940051489518</v>
      </c>
      <c r="I37" s="64">
        <f>IFERROR(ROUND((H37/10)*0.5+(C37/200)*0.3+(E37/10)*0.2,1),11.7)</f>
        <v>1.5</v>
      </c>
      <c r="J37" s="64" t="s">
        <v>143</v>
      </c>
    </row>
    <row r="38" ht="15" customHeight="1" spans="1:10">
      <c r="A38" s="5" t="s">
        <v>164</v>
      </c>
      <c r="B38" s="6">
        <f>COUNTIF('📋 Data &amp; Predictions'!$B$4:$B$77,A38)</f>
        <v>0</v>
      </c>
      <c r="C38" s="58">
        <f>IFERROR(IF(AVERAGEIF('📋 Data &amp; Predictions'!$B$4:$B$77,A38,'📋 Data &amp; Predictions'!$H$4:$H$77)=0,26.8,AVERAGEIF('📋 Data &amp; Predictions'!$B$4:$B$77,A38,'📋 Data &amp; Predictions'!$H$4:$H$77)),26.8)</f>
        <v>26.8</v>
      </c>
      <c r="D38" s="6">
        <f>IFERROR(IF(AVERAGEIF('📋 Data &amp; Predictions'!$B$4:$B$77,A38,'📋 Data &amp; Predictions'!$E$4:$E$77)=0,248,AVERAGEIF('📋 Data &amp; Predictions'!$B$4:$B$77,A38,'📋 Data &amp; Predictions'!$E$4:$E$77)),248)</f>
        <v>248</v>
      </c>
      <c r="E38" s="6">
        <f>IFERROR(IF(AVERAGEIF('📋 Data &amp; Predictions'!$B$4:$B$77,A38,'📋 Data &amp; Predictions'!$F$4:$F$77)=0,2,AVERAGEIF('📋 Data &amp; Predictions'!$B$4:$B$77,A38,'📋 Data &amp; Predictions'!$F$4:$F$77)),2)</f>
        <v>2</v>
      </c>
      <c r="F38" s="59">
        <f t="shared" si="0"/>
        <v>0.108064516129032</v>
      </c>
      <c r="G38" s="58">
        <f>IFERROR(IF(AVERAGEIF('📋 Data &amp; Predictions'!$B$4:$B$77,A38,'📋 Data &amp; Predictions'!$I$4:$I$77)=0,29.2,AVERAGEIF('📋 Data &amp; Predictions'!$B$4:$B$77,A38,'📋 Data &amp; Predictions'!$I$4:$I$77)),29.2)</f>
        <v>29.2</v>
      </c>
      <c r="H38" s="60">
        <f t="shared" si="1"/>
        <v>8.95522388059701</v>
      </c>
      <c r="I38" s="6">
        <f>IFERROR(ROUND((H38/10)*0.5+(C38/200)*0.3+(E38/10)*0.2,1),10.3)</f>
        <v>0.5</v>
      </c>
      <c r="J38" s="6" t="s">
        <v>139</v>
      </c>
    </row>
    <row r="39" ht="15" customHeight="1" spans="1:10">
      <c r="A39" s="5" t="s">
        <v>165</v>
      </c>
      <c r="B39" s="6">
        <f>COUNTIF('📋 Data &amp; Predictions'!$B$4:$B$77,A39)</f>
        <v>1</v>
      </c>
      <c r="C39" s="58">
        <f>IFERROR(IF(AVERAGEIF('📋 Data &amp; Predictions'!$B$4:$B$77,A39,'📋 Data &amp; Predictions'!$H$4:$H$77)=0,26.57,AVERAGEIF('📋 Data &amp; Predictions'!$B$4:$B$77,A39,'📋 Data &amp; Predictions'!$H$4:$H$77)),26.57)</f>
        <v>119.99</v>
      </c>
      <c r="D39" s="6">
        <f>IFERROR(IF(AVERAGEIF('📋 Data &amp; Predictions'!$B$4:$B$77,A39,'📋 Data &amp; Predictions'!$E$4:$E$77)=0,217,AVERAGEIF('📋 Data &amp; Predictions'!$B$4:$B$77,A39,'📋 Data &amp; Predictions'!$E$4:$E$77)),217)</f>
        <v>1301</v>
      </c>
      <c r="E39" s="6">
        <f>IFERROR(IF(AVERAGEIF('📋 Data &amp; Predictions'!$B$4:$B$77,A39,'📋 Data &amp; Predictions'!$F$4:$F$77)=0,1.9,AVERAGEIF('📋 Data &amp; Predictions'!$B$4:$B$77,A39,'📋 Data &amp; Predictions'!$F$4:$F$77)),1.9)</f>
        <v>7</v>
      </c>
      <c r="F39" s="59">
        <f t="shared" si="0"/>
        <v>0.0922290545734051</v>
      </c>
      <c r="G39" s="58">
        <f>IFERROR(IF(AVERAGEIF('📋 Data &amp; Predictions'!$B$4:$B$77,A39,'📋 Data &amp; Predictions'!$I$4:$I$77)=0,32.73,AVERAGEIF('📋 Data &amp; Predictions'!$B$4:$B$77,A39,'📋 Data &amp; Predictions'!$I$4:$I$77)),32.73)</f>
        <v>108</v>
      </c>
      <c r="H39" s="60">
        <f t="shared" si="1"/>
        <v>-9.99249937494791</v>
      </c>
      <c r="I39" s="6">
        <f>IFERROR(ROUND((H39/10)*0.5+(C39/200)*0.3+(E39/10)*0.2,1),9.9)</f>
        <v>-0.2</v>
      </c>
      <c r="J39" s="6" t="s">
        <v>154</v>
      </c>
    </row>
    <row r="40" ht="15" customHeight="1" spans="1:10">
      <c r="A40" s="5" t="s">
        <v>166</v>
      </c>
      <c r="B40" s="6">
        <f>COUNTIF('📋 Data &amp; Predictions'!$B$4:$B$77,A40)</f>
        <v>3</v>
      </c>
      <c r="C40" s="58">
        <f>IFERROR(IF(AVERAGEIF('📋 Data &amp; Predictions'!$B$4:$B$77,A40,'📋 Data &amp; Predictions'!$H$4:$H$77)=0,25.63,AVERAGEIF('📋 Data &amp; Predictions'!$B$4:$B$77,A40,'📋 Data &amp; Predictions'!$H$4:$H$77)),25.63)</f>
        <v>119.99</v>
      </c>
      <c r="D40" s="6">
        <f>IFERROR(IF(AVERAGEIF('📋 Data &amp; Predictions'!$B$4:$B$77,A40,'📋 Data &amp; Predictions'!$E$4:$E$77)=0,199,AVERAGEIF('📋 Data &amp; Predictions'!$B$4:$B$77,A40,'📋 Data &amp; Predictions'!$E$4:$E$77)),199)</f>
        <v>1106</v>
      </c>
      <c r="E40" s="6">
        <f>IFERROR(IF(AVERAGEIF('📋 Data &amp; Predictions'!$B$4:$B$77,A40,'📋 Data &amp; Predictions'!$F$4:$F$77)=0,2.1,AVERAGEIF('📋 Data &amp; Predictions'!$B$4:$B$77,A40,'📋 Data &amp; Predictions'!$F$4:$F$77)),2.1)</f>
        <v>7.66666666666667</v>
      </c>
      <c r="F40" s="59">
        <f t="shared" si="0"/>
        <v>0.108490054249548</v>
      </c>
      <c r="G40" s="58">
        <f>IFERROR(IF(AVERAGEIF('📋 Data &amp; Predictions'!$B$4:$B$77,A40,'📋 Data &amp; Predictions'!$I$4:$I$77)=0,39.24,AVERAGEIF('📋 Data &amp; Predictions'!$B$4:$B$77,A40,'📋 Data &amp; Predictions'!$I$4:$I$77)),39.24)</f>
        <v>130.013333333333</v>
      </c>
      <c r="H40" s="60">
        <f t="shared" si="1"/>
        <v>8.35347390060282</v>
      </c>
      <c r="I40" s="6">
        <f>IFERROR(ROUND((H40/10)*0.5+(C40/200)*0.3+(E40/10)*0.2,1),14.3)</f>
        <v>0.8</v>
      </c>
      <c r="J40" s="6" t="s">
        <v>154</v>
      </c>
    </row>
    <row r="41" ht="15" customHeight="1" spans="1:10">
      <c r="A41" s="70" t="s">
        <v>36</v>
      </c>
      <c r="B41" s="71">
        <f>COUNTIF('📋 Data &amp; Predictions'!$B$4:$B$77,A41)</f>
        <v>4</v>
      </c>
      <c r="C41" s="72">
        <f>IFERROR(IF(AVERAGEIF('📋 Data &amp; Predictions'!$B$4:$B$77,A41,'📋 Data &amp; Predictions'!$H$4:$H$77)=0,24.35,AVERAGEIF('📋 Data &amp; Predictions'!$B$4:$B$77,A41,'📋 Data &amp; Predictions'!$H$4:$H$77)),24.35)</f>
        <v>68.49</v>
      </c>
      <c r="D41" s="71">
        <f>IFERROR(IF(AVERAGEIF('📋 Data &amp; Predictions'!$B$4:$B$77,A41,'📋 Data &amp; Predictions'!$E$4:$E$77)=0,210,AVERAGEIF('📋 Data &amp; Predictions'!$B$4:$B$77,A41,'📋 Data &amp; Predictions'!$E$4:$E$77)),210)</f>
        <v>816</v>
      </c>
      <c r="E41" s="71">
        <f>IFERROR(IF(AVERAGEIF('📋 Data &amp; Predictions'!$B$4:$B$77,A41,'📋 Data &amp; Predictions'!$F$4:$F$77)=0,3.7,AVERAGEIF('📋 Data &amp; Predictions'!$B$4:$B$77,A41,'📋 Data &amp; Predictions'!$F$4:$F$77)),3.7)</f>
        <v>8.25</v>
      </c>
      <c r="F41" s="73">
        <f t="shared" si="0"/>
        <v>0.0839338235294118</v>
      </c>
      <c r="G41" s="72">
        <f>IFERROR(IF(AVERAGEIF('📋 Data &amp; Predictions'!$B$4:$B$77,A41,'📋 Data &amp; Predictions'!$I$4:$I$77)=0,79.31,AVERAGEIF('📋 Data &amp; Predictions'!$B$4:$B$77,A41,'📋 Data &amp; Predictions'!$I$4:$I$77)),79.31)</f>
        <v>253.305</v>
      </c>
      <c r="H41" s="74">
        <f t="shared" si="1"/>
        <v>269.842312746386</v>
      </c>
      <c r="I41" s="71">
        <f>IFERROR(ROUND((H41/10)*0.5+(C41/200)*0.3+(E41/10)*0.2,1),39.6)</f>
        <v>13.8</v>
      </c>
      <c r="J41" s="71" t="s">
        <v>153</v>
      </c>
    </row>
    <row r="42" ht="15" customHeight="1" spans="1:10">
      <c r="A42" s="5" t="s">
        <v>167</v>
      </c>
      <c r="B42" s="6">
        <f>COUNTIF('📋 Data &amp; Predictions'!$B$4:$B$77,A42)</f>
        <v>0</v>
      </c>
      <c r="C42" s="58">
        <f>IFERROR(IF(AVERAGEIF('📋 Data &amp; Predictions'!$B$4:$B$77,A42,'📋 Data &amp; Predictions'!$H$4:$H$77)=0,22.94,AVERAGEIF('📋 Data &amp; Predictions'!$B$4:$B$77,A42,'📋 Data &amp; Predictions'!$H$4:$H$77)),22.94)</f>
        <v>22.94</v>
      </c>
      <c r="D42" s="6">
        <f>IFERROR(IF(AVERAGEIF('📋 Data &amp; Predictions'!$B$4:$B$77,A42,'📋 Data &amp; Predictions'!$E$4:$E$77)=0,320,AVERAGEIF('📋 Data &amp; Predictions'!$B$4:$B$77,A42,'📋 Data &amp; Predictions'!$E$4:$E$77)),320)</f>
        <v>320</v>
      </c>
      <c r="E42" s="6">
        <f>IFERROR(IF(AVERAGEIF('📋 Data &amp; Predictions'!$B$4:$B$77,A42,'📋 Data &amp; Predictions'!$F$4:$F$77)=0,0.2,AVERAGEIF('📋 Data &amp; Predictions'!$B$4:$B$77,A42,'📋 Data &amp; Predictions'!$F$4:$F$77)),0.2)</f>
        <v>0.2</v>
      </c>
      <c r="F42" s="59">
        <f t="shared" si="0"/>
        <v>0.0716875</v>
      </c>
      <c r="G42" s="58">
        <f>IFERROR(IF(AVERAGEIF('📋 Data &amp; Predictions'!$B$4:$B$77,A42,'📋 Data &amp; Predictions'!$I$4:$I$77)=0,45.29,AVERAGEIF('📋 Data &amp; Predictions'!$B$4:$B$77,A42,'📋 Data &amp; Predictions'!$I$4:$I$77)),45.29)</f>
        <v>45.29</v>
      </c>
      <c r="H42" s="60">
        <f t="shared" si="1"/>
        <v>97.4280732345248</v>
      </c>
      <c r="I42" s="6">
        <f>IFERROR(ROUND((H42/10)*0.5+(C42/200)*0.3+(E42/10)*0.2,1),17.1)</f>
        <v>4.9</v>
      </c>
      <c r="J42" s="6" t="s">
        <v>154</v>
      </c>
    </row>
    <row r="43" ht="15" customHeight="1" spans="1:10">
      <c r="A43" s="5" t="s">
        <v>168</v>
      </c>
      <c r="B43" s="6">
        <f>COUNTIF('📋 Data &amp; Predictions'!$B$4:$B$77,A43)</f>
        <v>2</v>
      </c>
      <c r="C43" s="58">
        <f>IFERROR(IF(AVERAGEIF('📋 Data &amp; Predictions'!$B$4:$B$77,A43,'📋 Data &amp; Predictions'!$H$4:$H$77)=0,20.47,AVERAGEIF('📋 Data &amp; Predictions'!$B$4:$B$77,A43,'📋 Data &amp; Predictions'!$H$4:$H$77)),20.47)</f>
        <v>67.49</v>
      </c>
      <c r="D43" s="6">
        <f>IFERROR(IF(AVERAGEIF('📋 Data &amp; Predictions'!$B$4:$B$77,A43,'📋 Data &amp; Predictions'!$E$4:$E$77)=0,183,AVERAGEIF('📋 Data &amp; Predictions'!$B$4:$B$77,A43,'📋 Data &amp; Predictions'!$E$4:$E$77)),183)</f>
        <v>670.5</v>
      </c>
      <c r="E43" s="6">
        <f>IFERROR(IF(AVERAGEIF('📋 Data &amp; Predictions'!$B$4:$B$77,A43,'📋 Data &amp; Predictions'!$F$4:$F$77)=0,1.2,AVERAGEIF('📋 Data &amp; Predictions'!$B$4:$B$77,A43,'📋 Data &amp; Predictions'!$F$4:$F$77)),1.2)</f>
        <v>3</v>
      </c>
      <c r="F43" s="59">
        <f t="shared" si="0"/>
        <v>0.100656226696495</v>
      </c>
      <c r="G43" s="58">
        <f>IFERROR(IF(AVERAGEIF('📋 Data &amp; Predictions'!$B$4:$B$77,A43,'📋 Data &amp; Predictions'!$I$4:$I$77)=0,31.26,AVERAGEIF('📋 Data &amp; Predictions'!$B$4:$B$77,A43,'📋 Data &amp; Predictions'!$I$4:$I$77)),31.26)</f>
        <v>104.61</v>
      </c>
      <c r="H43" s="60">
        <f t="shared" si="1"/>
        <v>55.0007408504964</v>
      </c>
      <c r="I43" s="6">
        <f>IFERROR(ROUND((H43/10)*0.5+(C43/200)*0.3+(E43/10)*0.2,1),13.2)</f>
        <v>2.9</v>
      </c>
      <c r="J43" s="6" t="s">
        <v>154</v>
      </c>
    </row>
    <row r="44" ht="15" customHeight="1" spans="1:10">
      <c r="A44" s="70" t="s">
        <v>55</v>
      </c>
      <c r="B44" s="71">
        <f>COUNTIF('📋 Data &amp; Predictions'!$B$4:$B$77,A44)</f>
        <v>3</v>
      </c>
      <c r="C44" s="72">
        <f>IFERROR(IF(AVERAGEIF('📋 Data &amp; Predictions'!$B$4:$B$77,A44,'📋 Data &amp; Predictions'!$H$4:$H$77)=0,14.7,AVERAGEIF('📋 Data &amp; Predictions'!$B$4:$B$77,A44,'📋 Data &amp; Predictions'!$H$4:$H$77)),14.7)</f>
        <v>26.6566666666667</v>
      </c>
      <c r="D44" s="71">
        <f>IFERROR(IF(AVERAGEIF('📋 Data &amp; Predictions'!$B$4:$B$77,A44,'📋 Data &amp; Predictions'!$E$4:$E$77)=0,111,AVERAGEIF('📋 Data &amp; Predictions'!$B$4:$B$77,A44,'📋 Data &amp; Predictions'!$E$4:$E$77)),111)</f>
        <v>175.333333333333</v>
      </c>
      <c r="E44" s="71">
        <f>IFERROR(IF(AVERAGEIF('📋 Data &amp; Predictions'!$B$4:$B$77,A44,'📋 Data &amp; Predictions'!$F$4:$F$77)=0,0.5,AVERAGEIF('📋 Data &amp; Predictions'!$B$4:$B$77,A44,'📋 Data &amp; Predictions'!$F$4:$F$77)),0.5)</f>
        <v>0.5</v>
      </c>
      <c r="F44" s="73">
        <f t="shared" si="0"/>
        <v>0.152034220532319</v>
      </c>
      <c r="G44" s="72">
        <f>IFERROR(IF(AVERAGEIF('📋 Data &amp; Predictions'!$B$4:$B$77,A44,'📋 Data &amp; Predictions'!$I$4:$I$77)=0,33.49,AVERAGEIF('📋 Data &amp; Predictions'!$B$4:$B$77,A44,'📋 Data &amp; Predictions'!$I$4:$I$77)),33.49)</f>
        <v>92.9166666666667</v>
      </c>
      <c r="H44" s="80">
        <f t="shared" si="1"/>
        <v>248.568213079905</v>
      </c>
      <c r="I44" s="71">
        <f>IFERROR(ROUND((H44/10)*0.5+(C44/200)*0.3+(E44/10)*0.2,1),24.1)</f>
        <v>12.5</v>
      </c>
      <c r="J44" s="71" t="s">
        <v>153</v>
      </c>
    </row>
    <row r="45" ht="15" customHeight="1" spans="1:10">
      <c r="A45" s="5" t="s">
        <v>169</v>
      </c>
      <c r="B45" s="6">
        <f>COUNTIF('📋 Data &amp; Predictions'!$B$4:$B$77,A45)</f>
        <v>0</v>
      </c>
      <c r="C45" s="58">
        <f>IFERROR(IF(AVERAGEIF('📋 Data &amp; Predictions'!$B$4:$B$77,A45,'📋 Data &amp; Predictions'!$H$4:$H$77)=0,14.39,AVERAGEIF('📋 Data &amp; Predictions'!$B$4:$B$77,A45,'📋 Data &amp; Predictions'!$H$4:$H$77)),14.39)</f>
        <v>14.39</v>
      </c>
      <c r="D45" s="6">
        <f>IFERROR(IF(AVERAGEIF('📋 Data &amp; Predictions'!$B$4:$B$77,A45,'📋 Data &amp; Predictions'!$E$4:$E$77)=0,76,AVERAGEIF('📋 Data &amp; Predictions'!$B$4:$B$77,A45,'📋 Data &amp; Predictions'!$E$4:$E$77)),76)</f>
        <v>76</v>
      </c>
      <c r="E45" s="6">
        <f>IFERROR(IF(AVERAGEIF('📋 Data &amp; Predictions'!$B$4:$B$77,A45,'📋 Data &amp; Predictions'!$F$4:$F$77)=0,0.1,AVERAGEIF('📋 Data &amp; Predictions'!$B$4:$B$77,A45,'📋 Data &amp; Predictions'!$F$4:$F$77)),0.1)</f>
        <v>0.1</v>
      </c>
      <c r="F45" s="59">
        <f t="shared" si="0"/>
        <v>0.189342105263158</v>
      </c>
      <c r="G45" s="58">
        <f>IFERROR(IF(AVERAGEIF('📋 Data &amp; Predictions'!$B$4:$B$77,A45,'📋 Data &amp; Predictions'!$I$4:$I$77)=0,29.84,AVERAGEIF('📋 Data &amp; Predictions'!$B$4:$B$77,A45,'📋 Data &amp; Predictions'!$I$4:$I$77)),29.84)</f>
        <v>29.84</v>
      </c>
      <c r="H45" s="60">
        <f t="shared" si="1"/>
        <v>107.366226546213</v>
      </c>
      <c r="I45" s="6">
        <f>IFERROR(ROUND((H45/10)*0.5+(C45/200)*0.3+(E45/10)*0.2,1),15.7)</f>
        <v>5.4</v>
      </c>
      <c r="J45" s="6" t="s">
        <v>154</v>
      </c>
    </row>
    <row r="46" ht="15" customHeight="1" spans="1:10">
      <c r="A46" s="81" t="s">
        <v>170</v>
      </c>
      <c r="B46" s="82">
        <f>COUNTIF('📋 Data &amp; Predictions'!$B$4:$B$77,A46)</f>
        <v>1</v>
      </c>
      <c r="C46" s="83">
        <f>IFERROR(IF(AVERAGEIF('📋 Data &amp; Predictions'!$B$4:$B$77,A46,'📋 Data &amp; Predictions'!$H$4:$H$77)=0,12.96,AVERAGEIF('📋 Data &amp; Predictions'!$B$4:$B$77,A46,'📋 Data &amp; Predictions'!$H$4:$H$77)),12.96)</f>
        <v>99.99</v>
      </c>
      <c r="D46" s="82">
        <f>IFERROR(IF(AVERAGEIF('📋 Data &amp; Predictions'!$B$4:$B$77,A46,'📋 Data &amp; Predictions'!$E$4:$E$77)=0,160,AVERAGEIF('📋 Data &amp; Predictions'!$B$4:$B$77,A46,'📋 Data &amp; Predictions'!$E$4:$E$77)),160)</f>
        <v>1490</v>
      </c>
      <c r="E46" s="82">
        <f>IFERROR(IF(AVERAGEIF('📋 Data &amp; Predictions'!$B$4:$B$77,A46,'📋 Data &amp; Predictions'!$F$4:$F$77)=0,1,AVERAGEIF('📋 Data &amp; Predictions'!$B$4:$B$77,A46,'📋 Data &amp; Predictions'!$F$4:$F$77)),1)</f>
        <v>8</v>
      </c>
      <c r="F46" s="84">
        <f t="shared" si="0"/>
        <v>0.0671073825503356</v>
      </c>
      <c r="G46" s="83">
        <f>IFERROR(IF(AVERAGEIF('📋 Data &amp; Predictions'!$B$4:$B$77,A46,'📋 Data &amp; Predictions'!$I$4:$I$77)=0,30.16,AVERAGEIF('📋 Data &amp; Predictions'!$B$4:$B$77,A46,'📋 Data &amp; Predictions'!$I$4:$I$77)),30.16)</f>
        <v>191.53</v>
      </c>
      <c r="H46" s="85">
        <f t="shared" si="1"/>
        <v>91.5491549154916</v>
      </c>
      <c r="I46" s="82">
        <f>IFERROR(ROUND((H46/10)*0.5+(C46/200)*0.3+(E46/10)*0.2,1),19)</f>
        <v>4.9</v>
      </c>
      <c r="J46" s="82" t="s">
        <v>170</v>
      </c>
    </row>
    <row r="47" ht="15" customHeight="1" spans="1:10">
      <c r="A47" s="86" t="s">
        <v>171</v>
      </c>
      <c r="B47" s="87">
        <f>COUNTIF('📋 Data &amp; Predictions'!$B$4:$B$77,A47)</f>
        <v>0</v>
      </c>
      <c r="C47" s="88">
        <f>IFERROR(IF(AVERAGEIF('📋 Data &amp; Predictions'!$B$4:$B$77,A47,'📋 Data &amp; Predictions'!$H$4:$H$77)=0,12.78,AVERAGEIF('📋 Data &amp; Predictions'!$B$4:$B$77,A47,'📋 Data &amp; Predictions'!$H$4:$H$77)),12.78)</f>
        <v>12.78</v>
      </c>
      <c r="D47" s="87">
        <f>IFERROR(IF(AVERAGEIF('📋 Data &amp; Predictions'!$B$4:$B$77,A47,'📋 Data &amp; Predictions'!$E$4:$E$77)=0,82,AVERAGEIF('📋 Data &amp; Predictions'!$B$4:$B$77,A47,'📋 Data &amp; Predictions'!$E$4:$E$77)),82)</f>
        <v>82</v>
      </c>
      <c r="E47" s="87">
        <f>IFERROR(IF(AVERAGEIF('📋 Data &amp; Predictions'!$B$4:$B$77,A47,'📋 Data &amp; Predictions'!$F$4:$F$77)=0,0.7,AVERAGEIF('📋 Data &amp; Predictions'!$B$4:$B$77,A47,'📋 Data &amp; Predictions'!$F$4:$F$77)),0.7)</f>
        <v>0.7</v>
      </c>
      <c r="F47" s="89">
        <f t="shared" si="0"/>
        <v>0.155853658536585</v>
      </c>
      <c r="G47" s="88">
        <f>IFERROR(IF(AVERAGEIF('📋 Data &amp; Predictions'!$B$4:$B$77,A47,'📋 Data &amp; Predictions'!$I$4:$I$77)=0,19.08,AVERAGEIF('📋 Data &amp; Predictions'!$B$4:$B$77,A47,'📋 Data &amp; Predictions'!$I$4:$I$77)),19.08)</f>
        <v>19.08</v>
      </c>
      <c r="H47" s="90">
        <f t="shared" si="1"/>
        <v>49.2957746478873</v>
      </c>
      <c r="I47" s="87">
        <f>IFERROR(ROUND((H47/10)*0.5+(C47/200)*0.3+(E47/10)*0.2,1),11)</f>
        <v>2.5</v>
      </c>
      <c r="J47" s="87" t="s">
        <v>171</v>
      </c>
    </row>
    <row r="49" ht="14.25" customHeight="1" spans="1:2">
      <c r="A49" s="91" t="s">
        <v>172</v>
      </c>
      <c r="B49" s="91"/>
    </row>
    <row r="50" ht="14.25" customHeight="1" spans="1:6">
      <c r="A50" s="92" t="s">
        <v>135</v>
      </c>
      <c r="B50" s="93" t="s">
        <v>144</v>
      </c>
      <c r="C50" s="94" t="s">
        <v>153</v>
      </c>
      <c r="D50" s="93" t="s">
        <v>141</v>
      </c>
      <c r="E50" s="95" t="s">
        <v>173</v>
      </c>
      <c r="F50" s="96" t="s">
        <v>174</v>
      </c>
    </row>
  </sheetData>
  <mergeCells count="3">
    <mergeCell ref="A1:K1"/>
    <mergeCell ref="A2:K2"/>
    <mergeCell ref="A49:B49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showGridLines="0" topLeftCell="A6" workbookViewId="0">
      <selection activeCell="B16" sqref="B16"/>
    </sheetView>
  </sheetViews>
  <sheetFormatPr defaultColWidth="8.69090909090909" defaultRowHeight="14.5" outlineLevelCol="6"/>
  <cols>
    <col min="1" max="1" width="35" style="1" customWidth="1"/>
    <col min="2" max="2" width="18" style="1" customWidth="1"/>
    <col min="3" max="3" width="30" style="1" customWidth="1"/>
    <col min="4" max="4" width="36" style="1" customWidth="1"/>
    <col min="5" max="7" width="5" style="1" customWidth="1"/>
  </cols>
  <sheetData>
    <row r="1" ht="36" customHeight="1" spans="1:7">
      <c r="A1" s="34" t="s">
        <v>175</v>
      </c>
      <c r="B1" s="34"/>
      <c r="C1" s="34"/>
      <c r="D1" s="34"/>
      <c r="E1" s="34"/>
      <c r="F1" s="34"/>
      <c r="G1" s="34"/>
    </row>
    <row r="2" ht="18" customHeight="1" spans="1:7">
      <c r="A2" s="16" t="s">
        <v>176</v>
      </c>
      <c r="B2" s="16"/>
      <c r="C2" s="16"/>
      <c r="D2" s="16"/>
      <c r="E2" s="16"/>
      <c r="F2" s="16"/>
      <c r="G2" s="16"/>
    </row>
    <row r="4" ht="19.5" customHeight="1" spans="1:7">
      <c r="A4" s="13" t="s">
        <v>177</v>
      </c>
      <c r="B4" s="13"/>
      <c r="C4" s="13"/>
      <c r="D4" s="13"/>
      <c r="E4" s="13"/>
      <c r="F4" s="13"/>
      <c r="G4" s="13"/>
    </row>
    <row r="5" ht="21.75" customHeight="1" spans="1:4">
      <c r="A5" s="35" t="s">
        <v>178</v>
      </c>
      <c r="B5" s="36">
        <v>500</v>
      </c>
      <c r="C5" s="37" t="s">
        <v>179</v>
      </c>
      <c r="D5" s="38" t="s">
        <v>180</v>
      </c>
    </row>
    <row r="6" ht="21.75" customHeight="1" spans="1:4">
      <c r="A6" s="35" t="s">
        <v>181</v>
      </c>
      <c r="B6" s="36">
        <v>5</v>
      </c>
      <c r="C6" s="37" t="s">
        <v>182</v>
      </c>
      <c r="D6" s="38" t="s">
        <v>183</v>
      </c>
    </row>
    <row r="7" ht="21.75" customHeight="1" spans="1:4">
      <c r="A7" s="35" t="s">
        <v>184</v>
      </c>
      <c r="B7" s="36">
        <v>2</v>
      </c>
      <c r="C7" s="37" t="s">
        <v>185</v>
      </c>
      <c r="D7" s="38" t="s">
        <v>186</v>
      </c>
    </row>
    <row r="8" ht="21.75" customHeight="1" spans="1:4">
      <c r="A8" s="35" t="s">
        <v>187</v>
      </c>
      <c r="B8" s="36">
        <v>35</v>
      </c>
      <c r="C8" s="37" t="s">
        <v>188</v>
      </c>
      <c r="D8" s="38" t="s">
        <v>189</v>
      </c>
    </row>
    <row r="9" ht="9.75" customHeight="1"/>
    <row r="10" ht="19.5" customHeight="1" spans="1:7">
      <c r="A10" s="3" t="s">
        <v>190</v>
      </c>
      <c r="B10" s="3"/>
      <c r="C10" s="3"/>
      <c r="D10" s="3"/>
      <c r="E10" s="3"/>
      <c r="F10" s="3"/>
      <c r="G10" s="3"/>
    </row>
    <row r="11" ht="21.75" customHeight="1" spans="1:3">
      <c r="A11" s="39" t="s">
        <v>191</v>
      </c>
      <c r="B11" s="40">
        <f>$B$30+($B$31*B5)+($B$32*B6)+($B$33*B7)+($B$34*B8)</f>
        <v>66.1394</v>
      </c>
      <c r="C11" s="38" t="s">
        <v>192</v>
      </c>
    </row>
    <row r="12" ht="21.75" customHeight="1" spans="1:3">
      <c r="A12" s="39" t="s">
        <v>193</v>
      </c>
      <c r="B12" s="41">
        <f>ROUND(B11/5,0)*5</f>
        <v>65</v>
      </c>
      <c r="C12" s="38" t="s">
        <v>194</v>
      </c>
    </row>
    <row r="13" ht="21.75" customHeight="1" spans="1:3">
      <c r="A13" s="39" t="s">
        <v>195</v>
      </c>
      <c r="B13" s="42">
        <f>IF(B5&gt;0,B11/B5,0)</f>
        <v>0.1322788</v>
      </c>
      <c r="C13" s="38" t="s">
        <v>196</v>
      </c>
    </row>
    <row r="14" ht="21.75" customHeight="1" spans="1:3">
      <c r="A14" s="39" t="s">
        <v>197</v>
      </c>
      <c r="B14" s="40">
        <f>B11*0.9</f>
        <v>59.52546</v>
      </c>
      <c r="C14" s="38" t="s">
        <v>198</v>
      </c>
    </row>
    <row r="15" ht="21.75" customHeight="1" spans="1:3">
      <c r="A15" s="39" t="s">
        <v>199</v>
      </c>
      <c r="B15" s="40">
        <f>B11*1.1</f>
        <v>72.75334</v>
      </c>
      <c r="C15" s="38" t="s">
        <v>200</v>
      </c>
    </row>
    <row r="16" ht="21.75" customHeight="1" spans="1:2">
      <c r="A16" s="43" t="s">
        <v>201</v>
      </c>
      <c r="B16" s="44" t="str">
        <f>IF(B11&lt;20,"ENTRY (&lt;$20)",IF(B11&lt;50,"VALUE ($20-$49)",IF(B11&lt;100,"MID ($50-$99)",IF(B11&lt;150,"MID-HIGH ($100-$149)","PREMIUM ($150+)"))))</f>
        <v>MID ($50-$99)</v>
      </c>
    </row>
    <row r="18" ht="19.5" customHeight="1" spans="1:7">
      <c r="A18" s="45" t="s">
        <v>202</v>
      </c>
      <c r="B18" s="45"/>
      <c r="C18" s="45"/>
      <c r="D18" s="45"/>
      <c r="E18" s="45"/>
      <c r="F18" s="45"/>
      <c r="G18" s="45"/>
    </row>
    <row r="30" ht="14.25" customHeight="1" spans="1:2">
      <c r="A30" s="1" t="s">
        <v>203</v>
      </c>
      <c r="B30" s="46">
        <v>35.3652</v>
      </c>
    </row>
    <row r="31" ht="14.25" customHeight="1" spans="1:2">
      <c r="A31" s="1" t="s">
        <v>204</v>
      </c>
      <c r="B31" s="46">
        <v>0.0695</v>
      </c>
    </row>
    <row r="32" ht="14.25" customHeight="1" spans="1:2">
      <c r="A32" s="1" t="s">
        <v>205</v>
      </c>
      <c r="B32" s="46">
        <v>1.6686</v>
      </c>
    </row>
    <row r="33" ht="14.25" customHeight="1" spans="1:2">
      <c r="A33" s="1" t="s">
        <v>206</v>
      </c>
      <c r="B33" s="46">
        <v>-8.1964</v>
      </c>
    </row>
    <row r="34" ht="14.25" customHeight="1" spans="1:2">
      <c r="A34" s="1" t="s">
        <v>207</v>
      </c>
      <c r="B34" s="46">
        <v>0.1164</v>
      </c>
    </row>
  </sheetData>
  <mergeCells count="5">
    <mergeCell ref="A1:G1"/>
    <mergeCell ref="A2:G2"/>
    <mergeCell ref="A4:G4"/>
    <mergeCell ref="A10:G10"/>
    <mergeCell ref="A18:G1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7"/>
  <sheetViews>
    <sheetView showGridLines="0" topLeftCell="B37" workbookViewId="0">
      <selection activeCell="M8" sqref="M8"/>
    </sheetView>
  </sheetViews>
  <sheetFormatPr defaultColWidth="8.69090909090909" defaultRowHeight="14.5"/>
  <cols>
    <col min="1" max="1" width="10" style="1" customWidth="1"/>
    <col min="2" max="2" width="16" style="1" customWidth="1"/>
    <col min="3" max="3" width="28" style="1" customWidth="1"/>
    <col min="4" max="4" width="6" style="1" customWidth="1"/>
    <col min="5" max="5" width="8" style="1" customWidth="1"/>
    <col min="6" max="6" width="9" style="1" customWidth="1"/>
    <col min="7" max="7" width="11" style="1" customWidth="1"/>
    <col min="8" max="8" width="10" style="1" customWidth="1"/>
    <col min="9" max="10" width="13" style="1" customWidth="1"/>
    <col min="11" max="12" width="12" style="1" customWidth="1"/>
    <col min="13" max="13" width="9" style="1" customWidth="1"/>
    <col min="14" max="14" width="12" style="1" customWidth="1"/>
    <col min="15" max="15" width="13" style="1" customWidth="1"/>
  </cols>
  <sheetData>
    <row r="1" ht="27.75" customHeight="1" spans="1:15">
      <c r="A1" s="2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75" customHeight="1" spans="1:15">
      <c r="A2" s="16" t="s">
        <v>209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1.75" customHeight="1" spans="1:15">
      <c r="A3" s="4" t="s">
        <v>210</v>
      </c>
      <c r="B3" s="4" t="s">
        <v>16</v>
      </c>
      <c r="C3" s="4" t="s">
        <v>211</v>
      </c>
      <c r="D3" s="4" t="s">
        <v>121</v>
      </c>
      <c r="E3" s="4" t="s">
        <v>110</v>
      </c>
      <c r="F3" s="4" t="s">
        <v>117</v>
      </c>
      <c r="G3" s="4" t="s">
        <v>37</v>
      </c>
      <c r="H3" s="4" t="s">
        <v>17</v>
      </c>
      <c r="I3" s="4" t="s">
        <v>212</v>
      </c>
      <c r="J3" s="4" t="s">
        <v>213</v>
      </c>
      <c r="K3" s="4" t="s">
        <v>214</v>
      </c>
      <c r="L3" s="4" t="s">
        <v>215</v>
      </c>
      <c r="M3" s="4" t="s">
        <v>216</v>
      </c>
      <c r="N3" s="4" t="s">
        <v>100</v>
      </c>
      <c r="O3" s="4" t="s">
        <v>217</v>
      </c>
    </row>
    <row r="4" ht="13.5" customHeight="1" spans="1:15">
      <c r="A4" s="17">
        <v>10179</v>
      </c>
      <c r="B4" s="17" t="s">
        <v>69</v>
      </c>
      <c r="C4" s="18" t="s">
        <v>218</v>
      </c>
      <c r="D4" s="18">
        <v>2007</v>
      </c>
      <c r="E4" s="18">
        <v>5195</v>
      </c>
      <c r="F4" s="18">
        <v>5</v>
      </c>
      <c r="G4" s="18">
        <f t="shared" ref="G4:G67" si="0">IF(E4&gt;=800,1,IF(E4&gt;=300,2,IF(E4&gt;=100,3,4)))</f>
        <v>1</v>
      </c>
      <c r="H4" s="19">
        <v>499.99</v>
      </c>
      <c r="I4" s="19">
        <v>0</v>
      </c>
      <c r="J4" s="19">
        <v>0</v>
      </c>
      <c r="K4" s="19">
        <f>'🧮 Price Calculator'!$B$30+'🧮 Price Calculator'!$B$31*E4+'🧮 Price Calculator'!$B$32*F4+'🧮 Price Calculator'!$B$33*G4+'🧮 Price Calculator'!$B$34*IFERROR(MATCH(B4,'🎯 Theme Analysis'!$A$3:$A$50,0)-1,0)</f>
        <v>397.8447</v>
      </c>
      <c r="L4" s="19">
        <f t="shared" ref="L4:L67" si="1">H4-K4</f>
        <v>102.1453</v>
      </c>
      <c r="M4" s="26">
        <f t="shared" ref="M4:M67" si="2">IF(H4&lt;&gt;0,ABS(L4)/H4,0)</f>
        <v>0.204294685893718</v>
      </c>
      <c r="N4" s="27">
        <f t="shared" ref="N4:N67" si="3">IF(H4&lt;&gt;0,(I4-H4)/H4*100,0)</f>
        <v>-100</v>
      </c>
      <c r="O4" s="28" t="str">
        <f t="shared" ref="O4:O67" si="4">IF(M4&gt;0.15,"UNDERPRICED",IF(M4&gt;0.05,"FAIR VALUE","OVERPRICED"))</f>
        <v>UNDERPRICED</v>
      </c>
    </row>
    <row r="5" ht="13.5" customHeight="1" spans="1:15">
      <c r="A5" s="17">
        <v>10188</v>
      </c>
      <c r="B5" s="17" t="s">
        <v>69</v>
      </c>
      <c r="C5" s="18" t="s">
        <v>219</v>
      </c>
      <c r="D5" s="18">
        <v>2008</v>
      </c>
      <c r="E5" s="18">
        <v>3803</v>
      </c>
      <c r="F5" s="18">
        <v>22</v>
      </c>
      <c r="G5" s="18">
        <f t="shared" si="0"/>
        <v>1</v>
      </c>
      <c r="H5" s="19">
        <v>399.99</v>
      </c>
      <c r="I5" s="19">
        <v>490.38</v>
      </c>
      <c r="J5" s="19">
        <v>326.03</v>
      </c>
      <c r="K5" s="19">
        <f>'🧮 Price Calculator'!$B$30+'🧮 Price Calculator'!$B$31*E5+'🧮 Price Calculator'!$B$32*F5+'🧮 Price Calculator'!$B$33*G5+'🧮 Price Calculator'!$B$34*IFERROR(MATCH(B5,'🎯 Theme Analysis'!$A$3:$A$50,0)-1,0)</f>
        <v>329.4669</v>
      </c>
      <c r="L5" s="19">
        <f t="shared" si="1"/>
        <v>70.5230999999999</v>
      </c>
      <c r="M5" s="26">
        <f t="shared" si="2"/>
        <v>0.176312157803945</v>
      </c>
      <c r="N5" s="27">
        <f t="shared" si="3"/>
        <v>22.5980649516238</v>
      </c>
      <c r="O5" s="28" t="str">
        <f t="shared" si="4"/>
        <v>UNDERPRICED</v>
      </c>
    </row>
    <row r="6" ht="13.5" customHeight="1" spans="1:15">
      <c r="A6" s="17">
        <v>10221</v>
      </c>
      <c r="B6" s="17" t="s">
        <v>69</v>
      </c>
      <c r="C6" s="18" t="s">
        <v>220</v>
      </c>
      <c r="D6" s="18">
        <v>2011</v>
      </c>
      <c r="E6" s="18">
        <v>3152</v>
      </c>
      <c r="F6" s="18">
        <v>5</v>
      </c>
      <c r="G6" s="18">
        <f t="shared" si="0"/>
        <v>1</v>
      </c>
      <c r="H6" s="19">
        <v>399.99</v>
      </c>
      <c r="I6" s="19">
        <v>648.3</v>
      </c>
      <c r="J6" s="19">
        <v>511.73</v>
      </c>
      <c r="K6" s="19">
        <f>'🧮 Price Calculator'!$B$30+'🧮 Price Calculator'!$B$31*E6+'🧮 Price Calculator'!$B$32*F6+'🧮 Price Calculator'!$B$33*G6+'🧮 Price Calculator'!$B$34*IFERROR(MATCH(B6,'🎯 Theme Analysis'!$A$3:$A$50,0)-1,0)</f>
        <v>255.8562</v>
      </c>
      <c r="L6" s="19">
        <f t="shared" si="1"/>
        <v>144.1338</v>
      </c>
      <c r="M6" s="26">
        <f t="shared" si="2"/>
        <v>0.360343508587715</v>
      </c>
      <c r="N6" s="27">
        <f t="shared" si="3"/>
        <v>62.0790519762994</v>
      </c>
      <c r="O6" s="28" t="str">
        <f t="shared" si="4"/>
        <v>UNDERPRICED</v>
      </c>
    </row>
    <row r="7" ht="13.5" customHeight="1" spans="1:15">
      <c r="A7" s="17">
        <v>10234</v>
      </c>
      <c r="B7" s="17" t="s">
        <v>40</v>
      </c>
      <c r="C7" s="18" t="s">
        <v>221</v>
      </c>
      <c r="D7" s="18">
        <v>2013</v>
      </c>
      <c r="E7" s="18">
        <v>2989</v>
      </c>
      <c r="F7" s="18">
        <v>0</v>
      </c>
      <c r="G7" s="18">
        <f t="shared" si="0"/>
        <v>1</v>
      </c>
      <c r="H7" s="19">
        <v>319.99</v>
      </c>
      <c r="I7" s="19">
        <v>323.52</v>
      </c>
      <c r="J7" s="19">
        <v>256.8</v>
      </c>
      <c r="K7" s="19">
        <f>'🧮 Price Calculator'!$B$30+'🧮 Price Calculator'!$B$31*E7+'🧮 Price Calculator'!$B$32*F7+'🧮 Price Calculator'!$B$33*G7+'🧮 Price Calculator'!$B$34*IFERROR(MATCH(B7,'🎯 Theme Analysis'!$A$3:$A$50,0)-1,0)</f>
        <v>235.2535</v>
      </c>
      <c r="L7" s="19">
        <f t="shared" si="1"/>
        <v>84.7365</v>
      </c>
      <c r="M7" s="26">
        <f t="shared" si="2"/>
        <v>0.264809837807432</v>
      </c>
      <c r="N7" s="27">
        <f t="shared" si="3"/>
        <v>1.10315947373355</v>
      </c>
      <c r="O7" s="28" t="str">
        <f t="shared" si="4"/>
        <v>UNDERPRICED</v>
      </c>
    </row>
    <row r="8" ht="13.5" customHeight="1" spans="1:15">
      <c r="A8" s="17">
        <v>75059</v>
      </c>
      <c r="B8" s="17" t="s">
        <v>69</v>
      </c>
      <c r="C8" s="18" t="s">
        <v>222</v>
      </c>
      <c r="D8" s="18">
        <v>2014</v>
      </c>
      <c r="E8" s="18">
        <v>3296</v>
      </c>
      <c r="F8" s="18">
        <v>7</v>
      </c>
      <c r="G8" s="18">
        <f t="shared" si="0"/>
        <v>1</v>
      </c>
      <c r="H8" s="19">
        <v>299.99</v>
      </c>
      <c r="I8" s="19">
        <v>303</v>
      </c>
      <c r="J8" s="19">
        <v>250</v>
      </c>
      <c r="K8" s="19">
        <f>'🧮 Price Calculator'!$B$30+'🧮 Price Calculator'!$B$31*E8+'🧮 Price Calculator'!$B$32*F8+'🧮 Price Calculator'!$B$33*G8+'🧮 Price Calculator'!$B$34*IFERROR(MATCH(B8,'🎯 Theme Analysis'!$A$3:$A$50,0)-1,0)</f>
        <v>269.2014</v>
      </c>
      <c r="L8" s="19">
        <f t="shared" si="1"/>
        <v>30.7886</v>
      </c>
      <c r="M8" s="26">
        <f t="shared" si="2"/>
        <v>0.102632087736258</v>
      </c>
      <c r="N8" s="27">
        <f t="shared" si="3"/>
        <v>1.00336677889263</v>
      </c>
      <c r="O8" s="28" t="str">
        <f t="shared" si="4"/>
        <v>FAIR VALUE</v>
      </c>
    </row>
    <row r="9" ht="13.5" customHeight="1" spans="1:15">
      <c r="A9" s="20">
        <v>10189</v>
      </c>
      <c r="B9" s="20" t="s">
        <v>40</v>
      </c>
      <c r="C9" s="21" t="s">
        <v>223</v>
      </c>
      <c r="D9" s="21">
        <v>2008</v>
      </c>
      <c r="E9" s="21">
        <v>5922</v>
      </c>
      <c r="F9" s="21">
        <v>0</v>
      </c>
      <c r="G9" s="21">
        <f t="shared" si="0"/>
        <v>1</v>
      </c>
      <c r="H9" s="22">
        <v>299.99</v>
      </c>
      <c r="I9" s="22">
        <v>2394.19</v>
      </c>
      <c r="J9" s="22">
        <v>965.53</v>
      </c>
      <c r="K9" s="22">
        <f>'🧮 Price Calculator'!$B$30+'🧮 Price Calculator'!$B$31*E9+'🧮 Price Calculator'!$B$32*F9+'🧮 Price Calculator'!$B$33*G9+'🧮 Price Calculator'!$B$34*IFERROR(MATCH(B9,'🎯 Theme Analysis'!$A$3:$A$50,0)-1,0)</f>
        <v>439.097</v>
      </c>
      <c r="L9" s="22">
        <f t="shared" si="1"/>
        <v>-139.107</v>
      </c>
      <c r="M9" s="29">
        <f t="shared" si="2"/>
        <v>0.463705456848562</v>
      </c>
      <c r="N9" s="30">
        <f t="shared" si="3"/>
        <v>698.089936331211</v>
      </c>
      <c r="O9" s="31" t="str">
        <f t="shared" si="4"/>
        <v>UNDERPRICED</v>
      </c>
    </row>
    <row r="10" ht="13.5" customHeight="1" spans="1:15">
      <c r="A10" s="17">
        <v>10030</v>
      </c>
      <c r="B10" s="17" t="s">
        <v>69</v>
      </c>
      <c r="C10" s="18" t="s">
        <v>224</v>
      </c>
      <c r="D10" s="18">
        <v>2002</v>
      </c>
      <c r="E10" s="18">
        <v>3096</v>
      </c>
      <c r="F10" s="18">
        <v>0</v>
      </c>
      <c r="G10" s="18">
        <f t="shared" si="0"/>
        <v>1</v>
      </c>
      <c r="H10" s="19">
        <v>298.99</v>
      </c>
      <c r="I10" s="19">
        <v>1527</v>
      </c>
      <c r="J10" s="19">
        <v>783.38</v>
      </c>
      <c r="K10" s="19">
        <f>'🧮 Price Calculator'!$B$30+'🧮 Price Calculator'!$B$31*E10+'🧮 Price Calculator'!$B$32*F10+'🧮 Price Calculator'!$B$33*G10+'🧮 Price Calculator'!$B$34*IFERROR(MATCH(B10,'🎯 Theme Analysis'!$A$3:$A$50,0)-1,0)</f>
        <v>243.6212</v>
      </c>
      <c r="L10" s="19">
        <f t="shared" si="1"/>
        <v>55.3688</v>
      </c>
      <c r="M10" s="26">
        <f t="shared" si="2"/>
        <v>0.185186126626309</v>
      </c>
      <c r="N10" s="27">
        <f t="shared" si="3"/>
        <v>410.719422054249</v>
      </c>
      <c r="O10" s="28" t="str">
        <f t="shared" si="4"/>
        <v>UNDERPRICED</v>
      </c>
    </row>
    <row r="11" ht="13.5" customHeight="1" spans="1:15">
      <c r="A11" s="17">
        <v>10212</v>
      </c>
      <c r="B11" s="17" t="s">
        <v>69</v>
      </c>
      <c r="C11" s="18" t="s">
        <v>225</v>
      </c>
      <c r="D11" s="18">
        <v>2010</v>
      </c>
      <c r="E11" s="18">
        <v>2503</v>
      </c>
      <c r="F11" s="18">
        <v>5</v>
      </c>
      <c r="G11" s="18">
        <f t="shared" si="0"/>
        <v>1</v>
      </c>
      <c r="H11" s="19">
        <v>259.99</v>
      </c>
      <c r="I11" s="19">
        <v>453.96</v>
      </c>
      <c r="J11" s="19">
        <v>333.53</v>
      </c>
      <c r="K11" s="19">
        <f>'🧮 Price Calculator'!$B$30+'🧮 Price Calculator'!$B$31*E11+'🧮 Price Calculator'!$B$32*F11+'🧮 Price Calculator'!$B$33*G11+'🧮 Price Calculator'!$B$34*IFERROR(MATCH(B11,'🎯 Theme Analysis'!$A$3:$A$50,0)-1,0)</f>
        <v>210.7507</v>
      </c>
      <c r="L11" s="19">
        <f t="shared" si="1"/>
        <v>49.2393</v>
      </c>
      <c r="M11" s="26">
        <f t="shared" si="2"/>
        <v>0.189389207277203</v>
      </c>
      <c r="N11" s="27">
        <f t="shared" si="3"/>
        <v>74.6067156429093</v>
      </c>
      <c r="O11" s="28" t="str">
        <f t="shared" si="4"/>
        <v>UNDERPRICED</v>
      </c>
    </row>
    <row r="12" ht="13.5" customHeight="1" spans="1:15">
      <c r="A12" s="20">
        <v>10196</v>
      </c>
      <c r="B12" s="20" t="s">
        <v>40</v>
      </c>
      <c r="C12" s="21" t="s">
        <v>226</v>
      </c>
      <c r="D12" s="21">
        <v>2009</v>
      </c>
      <c r="E12" s="21">
        <v>3263</v>
      </c>
      <c r="F12" s="21">
        <v>9</v>
      </c>
      <c r="G12" s="21">
        <f t="shared" si="0"/>
        <v>1</v>
      </c>
      <c r="H12" s="22">
        <v>249.99</v>
      </c>
      <c r="I12" s="22">
        <v>2278</v>
      </c>
      <c r="J12" s="22">
        <v>1215.07</v>
      </c>
      <c r="K12" s="22">
        <f>'🧮 Price Calculator'!$B$30+'🧮 Price Calculator'!$B$31*E12+'🧮 Price Calculator'!$B$32*F12+'🧮 Price Calculator'!$B$33*G12+'🧮 Price Calculator'!$B$34*IFERROR(MATCH(B12,'🎯 Theme Analysis'!$A$3:$A$50,0)-1,0)</f>
        <v>269.3139</v>
      </c>
      <c r="L12" s="22">
        <f t="shared" si="1"/>
        <v>-19.3239</v>
      </c>
      <c r="M12" s="29">
        <f t="shared" si="2"/>
        <v>0.077298691947678</v>
      </c>
      <c r="N12" s="30">
        <f t="shared" si="3"/>
        <v>811.236449457978</v>
      </c>
      <c r="O12" s="31" t="str">
        <f t="shared" si="4"/>
        <v>FAIR VALUE</v>
      </c>
    </row>
    <row r="13" ht="13.5" customHeight="1" spans="1:15">
      <c r="A13" s="17">
        <v>10236</v>
      </c>
      <c r="B13" s="17" t="s">
        <v>69</v>
      </c>
      <c r="C13" s="18" t="s">
        <v>227</v>
      </c>
      <c r="D13" s="18">
        <v>2013</v>
      </c>
      <c r="E13" s="18">
        <v>1990</v>
      </c>
      <c r="F13" s="18">
        <v>16</v>
      </c>
      <c r="G13" s="18">
        <f t="shared" si="0"/>
        <v>1</v>
      </c>
      <c r="H13" s="19">
        <v>249.99</v>
      </c>
      <c r="I13" s="19">
        <v>244.31</v>
      </c>
      <c r="J13" s="19">
        <v>212.73</v>
      </c>
      <c r="K13" s="19">
        <f>'🧮 Price Calculator'!$B$30+'🧮 Price Calculator'!$B$31*E13+'🧮 Price Calculator'!$B$32*F13+'🧮 Price Calculator'!$B$33*G13+'🧮 Price Calculator'!$B$34*IFERROR(MATCH(B13,'🎯 Theme Analysis'!$A$3:$A$50,0)-1,0)</f>
        <v>193.4518</v>
      </c>
      <c r="L13" s="19">
        <f t="shared" si="1"/>
        <v>56.5382</v>
      </c>
      <c r="M13" s="26">
        <f t="shared" si="2"/>
        <v>0.226161846473859</v>
      </c>
      <c r="N13" s="27">
        <f t="shared" si="3"/>
        <v>-2.27209088363535</v>
      </c>
      <c r="O13" s="28" t="str">
        <f t="shared" si="4"/>
        <v>UNDERPRICED</v>
      </c>
    </row>
    <row r="14" ht="13.5" customHeight="1" spans="1:15">
      <c r="A14" s="20">
        <v>10181</v>
      </c>
      <c r="B14" s="20" t="s">
        <v>40</v>
      </c>
      <c r="C14" s="21" t="s">
        <v>228</v>
      </c>
      <c r="D14" s="21">
        <v>2007</v>
      </c>
      <c r="E14" s="21">
        <v>3428</v>
      </c>
      <c r="F14" s="21">
        <v>0</v>
      </c>
      <c r="G14" s="21">
        <f t="shared" si="0"/>
        <v>1</v>
      </c>
      <c r="H14" s="22">
        <v>199.99</v>
      </c>
      <c r="I14" s="22">
        <v>1742.93</v>
      </c>
      <c r="J14" s="22">
        <v>681.27</v>
      </c>
      <c r="K14" s="22">
        <f>'🧮 Price Calculator'!$B$30+'🧮 Price Calculator'!$B$31*E14+'🧮 Price Calculator'!$B$32*F14+'🧮 Price Calculator'!$B$33*G14+'🧮 Price Calculator'!$B$34*IFERROR(MATCH(B14,'🎯 Theme Analysis'!$A$3:$A$50,0)-1,0)</f>
        <v>265.764</v>
      </c>
      <c r="L14" s="22">
        <f t="shared" si="1"/>
        <v>-65.774</v>
      </c>
      <c r="M14" s="29">
        <f t="shared" si="2"/>
        <v>0.328886444322216</v>
      </c>
      <c r="N14" s="30">
        <f t="shared" si="3"/>
        <v>771.508575428771</v>
      </c>
      <c r="O14" s="31" t="str">
        <f t="shared" si="4"/>
        <v>UNDERPRICED</v>
      </c>
    </row>
    <row r="15" ht="13.5" customHeight="1" spans="1:15">
      <c r="A15" s="20">
        <v>10182</v>
      </c>
      <c r="B15" s="20" t="s">
        <v>40</v>
      </c>
      <c r="C15" s="21" t="s">
        <v>229</v>
      </c>
      <c r="D15" s="21">
        <v>2007</v>
      </c>
      <c r="E15" s="21">
        <v>2056</v>
      </c>
      <c r="F15" s="21">
        <v>3</v>
      </c>
      <c r="G15" s="21">
        <f t="shared" si="0"/>
        <v>1</v>
      </c>
      <c r="H15" s="22">
        <v>139.99</v>
      </c>
      <c r="I15" s="22">
        <v>1671.47</v>
      </c>
      <c r="J15" s="22">
        <v>736.19</v>
      </c>
      <c r="K15" s="22">
        <f>'🧮 Price Calculator'!$B$30+'🧮 Price Calculator'!$B$31*E15+'🧮 Price Calculator'!$B$32*F15+'🧮 Price Calculator'!$B$33*G15+'🧮 Price Calculator'!$B$34*IFERROR(MATCH(B15,'🎯 Theme Analysis'!$A$3:$A$50,0)-1,0)</f>
        <v>175.4158</v>
      </c>
      <c r="L15" s="22">
        <f t="shared" si="1"/>
        <v>-35.4258</v>
      </c>
      <c r="M15" s="29">
        <f t="shared" si="2"/>
        <v>0.253059504250303</v>
      </c>
      <c r="N15" s="30">
        <f t="shared" si="3"/>
        <v>1093.99242803057</v>
      </c>
      <c r="O15" s="31" t="str">
        <f t="shared" si="4"/>
        <v>UNDERPRICED</v>
      </c>
    </row>
    <row r="16" ht="13.5" customHeight="1" spans="1:15">
      <c r="A16" s="20">
        <v>10185</v>
      </c>
      <c r="B16" s="20" t="s">
        <v>40</v>
      </c>
      <c r="C16" s="21" t="s">
        <v>230</v>
      </c>
      <c r="D16" s="21">
        <v>2008</v>
      </c>
      <c r="E16" s="21">
        <v>2352</v>
      </c>
      <c r="F16" s="21">
        <v>4</v>
      </c>
      <c r="G16" s="21">
        <f t="shared" si="0"/>
        <v>1</v>
      </c>
      <c r="H16" s="22">
        <v>149.99</v>
      </c>
      <c r="I16" s="22">
        <v>905.38</v>
      </c>
      <c r="J16" s="22">
        <v>631.58</v>
      </c>
      <c r="K16" s="22">
        <f>'🧮 Price Calculator'!$B$30+'🧮 Price Calculator'!$B$31*E16+'🧮 Price Calculator'!$B$32*F16+'🧮 Price Calculator'!$B$33*G16+'🧮 Price Calculator'!$B$34*IFERROR(MATCH(B16,'🎯 Theme Analysis'!$A$3:$A$50,0)-1,0)</f>
        <v>197.6564</v>
      </c>
      <c r="L16" s="22">
        <f t="shared" si="1"/>
        <v>-47.6664</v>
      </c>
      <c r="M16" s="29">
        <f t="shared" si="2"/>
        <v>0.317797186479098</v>
      </c>
      <c r="N16" s="30">
        <f t="shared" si="3"/>
        <v>503.626908460564</v>
      </c>
      <c r="O16" s="31" t="str">
        <f t="shared" si="4"/>
        <v>UNDERPRICED</v>
      </c>
    </row>
    <row r="17" ht="13.5" customHeight="1" spans="1:15">
      <c r="A17" s="20">
        <v>10184</v>
      </c>
      <c r="B17" s="20" t="s">
        <v>40</v>
      </c>
      <c r="C17" s="21" t="s">
        <v>231</v>
      </c>
      <c r="D17" s="21">
        <v>2008</v>
      </c>
      <c r="E17" s="21">
        <v>1981</v>
      </c>
      <c r="F17" s="21">
        <v>8</v>
      </c>
      <c r="G17" s="21">
        <f t="shared" si="0"/>
        <v>1</v>
      </c>
      <c r="H17" s="22">
        <v>149.99</v>
      </c>
      <c r="I17" s="22">
        <v>394.07</v>
      </c>
      <c r="J17" s="22">
        <v>255.53</v>
      </c>
      <c r="K17" s="22">
        <f>'🧮 Price Calculator'!$B$30+'🧮 Price Calculator'!$B$31*E17+'🧮 Price Calculator'!$B$32*F17+'🧮 Price Calculator'!$B$33*G17+'🧮 Price Calculator'!$B$34*IFERROR(MATCH(B17,'🎯 Theme Analysis'!$A$3:$A$50,0)-1,0)</f>
        <v>178.5463</v>
      </c>
      <c r="L17" s="22">
        <f t="shared" si="1"/>
        <v>-28.5563</v>
      </c>
      <c r="M17" s="29">
        <f t="shared" si="2"/>
        <v>0.190388025868391</v>
      </c>
      <c r="N17" s="30">
        <f t="shared" si="3"/>
        <v>162.730848723248</v>
      </c>
      <c r="O17" s="31" t="str">
        <f t="shared" si="4"/>
        <v>UNDERPRICED</v>
      </c>
    </row>
    <row r="18" ht="13.5" customHeight="1" spans="1:15">
      <c r="A18" s="20">
        <v>3450</v>
      </c>
      <c r="B18" s="20" t="s">
        <v>40</v>
      </c>
      <c r="C18" s="21" t="s">
        <v>232</v>
      </c>
      <c r="D18" s="21">
        <v>2000</v>
      </c>
      <c r="E18" s="21">
        <v>2882</v>
      </c>
      <c r="F18" s="21">
        <v>0</v>
      </c>
      <c r="G18" s="21">
        <f t="shared" si="0"/>
        <v>1</v>
      </c>
      <c r="H18" s="22">
        <v>198.99</v>
      </c>
      <c r="I18" s="22">
        <v>2073.93</v>
      </c>
      <c r="J18" s="22">
        <v>1054.73</v>
      </c>
      <c r="K18" s="22">
        <f>'🧮 Price Calculator'!$B$30+'🧮 Price Calculator'!$B$31*E18+'🧮 Price Calculator'!$B$32*F18+'🧮 Price Calculator'!$B$33*G18+'🧮 Price Calculator'!$B$34*IFERROR(MATCH(B18,'🎯 Theme Analysis'!$A$3:$A$50,0)-1,0)</f>
        <v>227.817</v>
      </c>
      <c r="L18" s="22">
        <f t="shared" si="1"/>
        <v>-28.827</v>
      </c>
      <c r="M18" s="29">
        <f t="shared" si="2"/>
        <v>0.14486657620986</v>
      </c>
      <c r="N18" s="30">
        <f t="shared" si="3"/>
        <v>942.228252676014</v>
      </c>
      <c r="O18" s="31" t="str">
        <f t="shared" si="4"/>
        <v>FAIR VALUE</v>
      </c>
    </row>
    <row r="19" ht="13.5" customHeight="1" spans="1:15">
      <c r="A19" s="17">
        <v>76023</v>
      </c>
      <c r="B19" s="17" t="s">
        <v>51</v>
      </c>
      <c r="C19" s="18" t="s">
        <v>233</v>
      </c>
      <c r="D19" s="18">
        <v>2014</v>
      </c>
      <c r="E19" s="18">
        <v>1869</v>
      </c>
      <c r="F19" s="18">
        <v>2</v>
      </c>
      <c r="G19" s="18">
        <f t="shared" si="0"/>
        <v>1</v>
      </c>
      <c r="H19" s="19">
        <v>199.99</v>
      </c>
      <c r="I19" s="19">
        <v>269.67</v>
      </c>
      <c r="J19" s="19">
        <v>208.87</v>
      </c>
      <c r="K19" s="19">
        <f>'🧮 Price Calculator'!$B$30+'🧮 Price Calculator'!$B$31*E19+'🧮 Price Calculator'!$B$32*F19+'🧮 Price Calculator'!$B$33*G19+'🧮 Price Calculator'!$B$34*IFERROR(MATCH(B19,'🎯 Theme Analysis'!$A$3:$A$50,0)-1,0)</f>
        <v>162.3803</v>
      </c>
      <c r="L19" s="19">
        <f t="shared" si="1"/>
        <v>37.6097</v>
      </c>
      <c r="M19" s="26">
        <f t="shared" si="2"/>
        <v>0.188057902895145</v>
      </c>
      <c r="N19" s="27">
        <f t="shared" si="3"/>
        <v>34.8417420871044</v>
      </c>
      <c r="O19" s="28" t="str">
        <f t="shared" si="4"/>
        <v>UNDERPRICED</v>
      </c>
    </row>
    <row r="20" ht="13.5" customHeight="1" spans="1:15">
      <c r="A20" s="23">
        <v>10937</v>
      </c>
      <c r="B20" s="23" t="s">
        <v>51</v>
      </c>
      <c r="C20" s="24" t="s">
        <v>234</v>
      </c>
      <c r="D20" s="24">
        <v>2013</v>
      </c>
      <c r="E20" s="24">
        <v>1619</v>
      </c>
      <c r="F20" s="24">
        <v>8</v>
      </c>
      <c r="G20" s="24">
        <f t="shared" si="0"/>
        <v>1</v>
      </c>
      <c r="H20" s="25">
        <v>159.99</v>
      </c>
      <c r="I20" s="25">
        <v>248.33</v>
      </c>
      <c r="J20" s="25">
        <v>125</v>
      </c>
      <c r="K20" s="25">
        <f>'🧮 Price Calculator'!$B$30+'🧮 Price Calculator'!$B$31*E20+'🧮 Price Calculator'!$B$32*F20+'🧮 Price Calculator'!$B$33*G20+'🧮 Price Calculator'!$B$34*IFERROR(MATCH(B20,'🎯 Theme Analysis'!$A$3:$A$50,0)-1,0)</f>
        <v>155.0169</v>
      </c>
      <c r="L20" s="25">
        <f t="shared" si="1"/>
        <v>4.97309999999999</v>
      </c>
      <c r="M20" s="32">
        <f t="shared" si="2"/>
        <v>0.0310838177386086</v>
      </c>
      <c r="N20" s="33">
        <f t="shared" si="3"/>
        <v>55.2159509969373</v>
      </c>
      <c r="O20" s="24" t="str">
        <f t="shared" si="4"/>
        <v>OVERPRICED</v>
      </c>
    </row>
    <row r="21" ht="13.5" customHeight="1" spans="1:15">
      <c r="A21" s="23">
        <v>4842</v>
      </c>
      <c r="B21" s="23" t="s">
        <v>45</v>
      </c>
      <c r="C21" s="24" t="s">
        <v>235</v>
      </c>
      <c r="D21" s="24">
        <v>2010</v>
      </c>
      <c r="E21" s="24">
        <v>1290</v>
      </c>
      <c r="F21" s="24">
        <v>11</v>
      </c>
      <c r="G21" s="24">
        <f t="shared" si="0"/>
        <v>1</v>
      </c>
      <c r="H21" s="25">
        <v>129.99</v>
      </c>
      <c r="I21" s="25">
        <v>378.21</v>
      </c>
      <c r="J21" s="25">
        <v>275.93</v>
      </c>
      <c r="K21" s="25">
        <f>'🧮 Price Calculator'!$B$30+'🧮 Price Calculator'!$B$31*E21+'🧮 Price Calculator'!$B$32*F21+'🧮 Price Calculator'!$B$33*G21+'🧮 Price Calculator'!$B$34*IFERROR(MATCH(B21,'🎯 Theme Analysis'!$A$3:$A$50,0)-1,0)</f>
        <v>137.8556</v>
      </c>
      <c r="L21" s="25">
        <f t="shared" si="1"/>
        <v>-7.86559999999997</v>
      </c>
      <c r="M21" s="32">
        <f t="shared" si="2"/>
        <v>0.0605092699438416</v>
      </c>
      <c r="N21" s="33">
        <f t="shared" si="3"/>
        <v>190.953150242326</v>
      </c>
      <c r="O21" s="24" t="str">
        <f t="shared" si="4"/>
        <v>FAIR VALUE</v>
      </c>
    </row>
    <row r="22" ht="13.5" customHeight="1" spans="1:15">
      <c r="A22" s="20">
        <v>10217</v>
      </c>
      <c r="B22" s="20" t="s">
        <v>45</v>
      </c>
      <c r="C22" s="21" t="s">
        <v>236</v>
      </c>
      <c r="D22" s="21">
        <v>2011</v>
      </c>
      <c r="E22" s="21">
        <v>2025</v>
      </c>
      <c r="F22" s="21">
        <v>12</v>
      </c>
      <c r="G22" s="21">
        <f t="shared" si="0"/>
        <v>1</v>
      </c>
      <c r="H22" s="22">
        <v>149.99</v>
      </c>
      <c r="I22" s="22">
        <v>314.76</v>
      </c>
      <c r="J22" s="22">
        <v>242.16</v>
      </c>
      <c r="K22" s="22">
        <f>'🧮 Price Calculator'!$B$30+'🧮 Price Calculator'!$B$31*E22+'🧮 Price Calculator'!$B$32*F22+'🧮 Price Calculator'!$B$33*G22+'🧮 Price Calculator'!$B$34*IFERROR(MATCH(B22,'🎯 Theme Analysis'!$A$3:$A$50,0)-1,0)</f>
        <v>190.6067</v>
      </c>
      <c r="L22" s="22">
        <f t="shared" si="1"/>
        <v>-40.6167</v>
      </c>
      <c r="M22" s="29">
        <f t="shared" si="2"/>
        <v>0.270796053070205</v>
      </c>
      <c r="N22" s="30">
        <f t="shared" si="3"/>
        <v>109.853990266018</v>
      </c>
      <c r="O22" s="31" t="str">
        <f t="shared" si="4"/>
        <v>UNDERPRICED</v>
      </c>
    </row>
    <row r="23" ht="13.5" customHeight="1" spans="1:15">
      <c r="A23" s="17">
        <v>10132</v>
      </c>
      <c r="B23" s="17" t="s">
        <v>45</v>
      </c>
      <c r="C23" s="18" t="s">
        <v>237</v>
      </c>
      <c r="D23" s="18">
        <v>2004</v>
      </c>
      <c r="E23" s="18">
        <v>708</v>
      </c>
      <c r="F23" s="18">
        <v>4</v>
      </c>
      <c r="G23" s="18">
        <f t="shared" si="0"/>
        <v>2</v>
      </c>
      <c r="H23" s="19">
        <v>119.99</v>
      </c>
      <c r="I23" s="19">
        <v>434.53</v>
      </c>
      <c r="J23" s="19">
        <v>335.47</v>
      </c>
      <c r="K23" s="19">
        <f>'🧮 Price Calculator'!$B$30+'🧮 Price Calculator'!$B$31*E23+'🧮 Price Calculator'!$B$32*F23+'🧮 Price Calculator'!$B$33*G23+'🧮 Price Calculator'!$B$34*IFERROR(MATCH(B23,'🎯 Theme Analysis'!$A$3:$A$50,0)-1,0)</f>
        <v>77.53</v>
      </c>
      <c r="L23" s="19">
        <f t="shared" si="1"/>
        <v>42.46</v>
      </c>
      <c r="M23" s="26">
        <f t="shared" si="2"/>
        <v>0.353862821901825</v>
      </c>
      <c r="N23" s="27">
        <f t="shared" si="3"/>
        <v>262.138511542629</v>
      </c>
      <c r="O23" s="28" t="str">
        <f t="shared" si="4"/>
        <v>UNDERPRICED</v>
      </c>
    </row>
    <row r="24" ht="13.5" customHeight="1" spans="1:15">
      <c r="A24" s="23">
        <v>10237</v>
      </c>
      <c r="B24" s="23" t="s">
        <v>142</v>
      </c>
      <c r="C24" s="24" t="s">
        <v>238</v>
      </c>
      <c r="D24" s="24">
        <v>2013</v>
      </c>
      <c r="E24" s="24">
        <v>2359</v>
      </c>
      <c r="F24" s="24">
        <v>5</v>
      </c>
      <c r="G24" s="24">
        <f t="shared" si="0"/>
        <v>1</v>
      </c>
      <c r="H24" s="25">
        <v>199.99</v>
      </c>
      <c r="I24" s="25">
        <v>237.19</v>
      </c>
      <c r="J24" s="25">
        <v>182.93</v>
      </c>
      <c r="K24" s="25">
        <f>'🧮 Price Calculator'!$B$30+'🧮 Price Calculator'!$B$31*E24+'🧮 Price Calculator'!$B$32*F24+'🧮 Price Calculator'!$B$33*G24+'🧮 Price Calculator'!$B$34*IFERROR(MATCH(B24,'🎯 Theme Analysis'!$A$3:$A$50,0)-1,0)</f>
        <v>200.5099</v>
      </c>
      <c r="L24" s="25">
        <f t="shared" si="1"/>
        <v>-0.51989999999995</v>
      </c>
      <c r="M24" s="32">
        <f t="shared" si="2"/>
        <v>0.00259962998149883</v>
      </c>
      <c r="N24" s="33">
        <f t="shared" si="3"/>
        <v>18.6009300465023</v>
      </c>
      <c r="O24" s="24" t="str">
        <f t="shared" si="4"/>
        <v>OVERPRICED</v>
      </c>
    </row>
    <row r="25" ht="13.5" customHeight="1" spans="1:15">
      <c r="A25" s="23">
        <v>9474</v>
      </c>
      <c r="B25" s="23" t="s">
        <v>142</v>
      </c>
      <c r="C25" s="24" t="s">
        <v>239</v>
      </c>
      <c r="D25" s="24">
        <v>2012</v>
      </c>
      <c r="E25" s="24">
        <v>1368</v>
      </c>
      <c r="F25" s="24">
        <v>8</v>
      </c>
      <c r="G25" s="24">
        <f t="shared" si="0"/>
        <v>1</v>
      </c>
      <c r="H25" s="25">
        <v>129.99</v>
      </c>
      <c r="I25" s="25">
        <v>167.77</v>
      </c>
      <c r="J25" s="25">
        <v>135.8</v>
      </c>
      <c r="K25" s="25">
        <f>'🧮 Price Calculator'!$B$30+'🧮 Price Calculator'!$B$31*E25+'🧮 Price Calculator'!$B$32*F25+'🧮 Price Calculator'!$B$33*G25+'🧮 Price Calculator'!$B$34*IFERROR(MATCH(B25,'🎯 Theme Analysis'!$A$3:$A$50,0)-1,0)</f>
        <v>136.6412</v>
      </c>
      <c r="L25" s="25">
        <f t="shared" si="1"/>
        <v>-6.65119999999999</v>
      </c>
      <c r="M25" s="32">
        <f t="shared" si="2"/>
        <v>0.051167012847142</v>
      </c>
      <c r="N25" s="33">
        <f t="shared" si="3"/>
        <v>29.063774136472</v>
      </c>
      <c r="O25" s="24" t="str">
        <f t="shared" si="4"/>
        <v>FAIR VALUE</v>
      </c>
    </row>
    <row r="26" ht="13.5" customHeight="1" spans="1:15">
      <c r="A26" s="17">
        <v>6286</v>
      </c>
      <c r="B26" s="17" t="s">
        <v>49</v>
      </c>
      <c r="C26" s="18" t="s">
        <v>240</v>
      </c>
      <c r="D26" s="18">
        <v>1993</v>
      </c>
      <c r="E26" s="18">
        <v>912</v>
      </c>
      <c r="F26" s="18">
        <v>9</v>
      </c>
      <c r="G26" s="18">
        <f t="shared" si="0"/>
        <v>1</v>
      </c>
      <c r="H26" s="19">
        <v>126.99</v>
      </c>
      <c r="I26" s="19">
        <v>669.4</v>
      </c>
      <c r="J26" s="19">
        <v>286.67</v>
      </c>
      <c r="K26" s="19">
        <f>'🧮 Price Calculator'!$B$30+'🧮 Price Calculator'!$B$31*E26+'🧮 Price Calculator'!$B$32*F26+'🧮 Price Calculator'!$B$33*G26+'🧮 Price Calculator'!$B$34*IFERROR(MATCH(B26,'🎯 Theme Analysis'!$A$3:$A$50,0)-1,0)</f>
        <v>108.3638</v>
      </c>
      <c r="L26" s="19">
        <f t="shared" si="1"/>
        <v>18.6262</v>
      </c>
      <c r="M26" s="26">
        <f t="shared" si="2"/>
        <v>0.146674541302465</v>
      </c>
      <c r="N26" s="27">
        <f t="shared" si="3"/>
        <v>427.128120324435</v>
      </c>
      <c r="O26" s="28" t="str">
        <f t="shared" si="4"/>
        <v>FAIR VALUE</v>
      </c>
    </row>
    <row r="27" ht="13.5" customHeight="1" spans="1:15">
      <c r="A27" s="17">
        <v>6285</v>
      </c>
      <c r="B27" s="17" t="s">
        <v>49</v>
      </c>
      <c r="C27" s="18" t="s">
        <v>241</v>
      </c>
      <c r="D27" s="18">
        <v>1989</v>
      </c>
      <c r="E27" s="18">
        <v>909</v>
      </c>
      <c r="F27" s="18">
        <v>8</v>
      </c>
      <c r="G27" s="18">
        <f t="shared" si="0"/>
        <v>1</v>
      </c>
      <c r="H27" s="19">
        <v>109.99</v>
      </c>
      <c r="I27" s="19">
        <v>412</v>
      </c>
      <c r="J27" s="19">
        <v>214</v>
      </c>
      <c r="K27" s="19">
        <f>'🧮 Price Calculator'!$B$30+'🧮 Price Calculator'!$B$31*E27+'🧮 Price Calculator'!$B$32*F27+'🧮 Price Calculator'!$B$33*G27+'🧮 Price Calculator'!$B$34*IFERROR(MATCH(B27,'🎯 Theme Analysis'!$A$3:$A$50,0)-1,0)</f>
        <v>106.4867</v>
      </c>
      <c r="L27" s="19">
        <f t="shared" si="1"/>
        <v>3.50329999999998</v>
      </c>
      <c r="M27" s="26">
        <f t="shared" si="2"/>
        <v>0.0318510773706699</v>
      </c>
      <c r="N27" s="27">
        <f t="shared" si="3"/>
        <v>274.57950722793</v>
      </c>
      <c r="O27" s="28" t="str">
        <f t="shared" si="4"/>
        <v>OVERPRICED</v>
      </c>
    </row>
    <row r="28" ht="13.5" customHeight="1" spans="1:15">
      <c r="A28" s="17">
        <v>10210</v>
      </c>
      <c r="B28" s="17" t="s">
        <v>49</v>
      </c>
      <c r="C28" s="18" t="s">
        <v>242</v>
      </c>
      <c r="D28" s="18">
        <v>2010</v>
      </c>
      <c r="E28" s="18">
        <v>1664</v>
      </c>
      <c r="F28" s="18">
        <v>9</v>
      </c>
      <c r="G28" s="18">
        <f t="shared" si="0"/>
        <v>1</v>
      </c>
      <c r="H28" s="19">
        <v>179.99</v>
      </c>
      <c r="I28" s="19">
        <v>522.5</v>
      </c>
      <c r="J28" s="19">
        <v>400.67</v>
      </c>
      <c r="K28" s="19">
        <f>'🧮 Price Calculator'!$B$30+'🧮 Price Calculator'!$B$31*E28+'🧮 Price Calculator'!$B$32*F28+'🧮 Price Calculator'!$B$33*G28+'🧮 Price Calculator'!$B$34*IFERROR(MATCH(B28,'🎯 Theme Analysis'!$A$3:$A$50,0)-1,0)</f>
        <v>160.6278</v>
      </c>
      <c r="L28" s="19">
        <f t="shared" si="1"/>
        <v>19.3622</v>
      </c>
      <c r="M28" s="26">
        <f t="shared" si="2"/>
        <v>0.10757375409745</v>
      </c>
      <c r="N28" s="27">
        <f t="shared" si="3"/>
        <v>190.293905216956</v>
      </c>
      <c r="O28" s="28" t="str">
        <f t="shared" si="4"/>
        <v>FAIR VALUE</v>
      </c>
    </row>
    <row r="29" ht="13.5" customHeight="1" spans="1:15">
      <c r="A29" s="17">
        <v>37</v>
      </c>
      <c r="B29" s="17" t="s">
        <v>30</v>
      </c>
      <c r="C29" s="18" t="s">
        <v>243</v>
      </c>
      <c r="D29" s="18">
        <v>2014</v>
      </c>
      <c r="E29" s="18">
        <v>160</v>
      </c>
      <c r="F29" s="18">
        <v>2</v>
      </c>
      <c r="G29" s="18">
        <f t="shared" si="0"/>
        <v>3</v>
      </c>
      <c r="H29" s="19">
        <v>31.3</v>
      </c>
      <c r="I29" s="19">
        <v>180</v>
      </c>
      <c r="J29" s="19">
        <v>60</v>
      </c>
      <c r="K29" s="19">
        <f>'🧮 Price Calculator'!$B$30+'🧮 Price Calculator'!$B$31*E29+'🧮 Price Calculator'!$B$32*F29+'🧮 Price Calculator'!$B$33*G29+'🧮 Price Calculator'!$B$34*IFERROR(MATCH(B29,'🎯 Theme Analysis'!$A$3:$A$50,0)-1,0)</f>
        <v>28.6088</v>
      </c>
      <c r="L29" s="19">
        <f t="shared" si="1"/>
        <v>2.69119999999999</v>
      </c>
      <c r="M29" s="26">
        <f t="shared" si="2"/>
        <v>0.0859808306709264</v>
      </c>
      <c r="N29" s="27">
        <f t="shared" si="3"/>
        <v>475.079872204473</v>
      </c>
      <c r="O29" s="28" t="str">
        <f t="shared" si="4"/>
        <v>FAIR VALUE</v>
      </c>
    </row>
    <row r="30" ht="13.5" customHeight="1" spans="1:15">
      <c r="A30" s="23">
        <v>10228</v>
      </c>
      <c r="B30" s="23" t="s">
        <v>61</v>
      </c>
      <c r="C30" s="24" t="s">
        <v>244</v>
      </c>
      <c r="D30" s="24">
        <v>2012</v>
      </c>
      <c r="E30" s="24">
        <v>2064</v>
      </c>
      <c r="F30" s="24">
        <v>6</v>
      </c>
      <c r="G30" s="24">
        <f t="shared" si="0"/>
        <v>1</v>
      </c>
      <c r="H30" s="25">
        <v>179.99</v>
      </c>
      <c r="I30" s="25">
        <v>304.13</v>
      </c>
      <c r="J30" s="25">
        <v>235.07</v>
      </c>
      <c r="K30" s="25">
        <f>'🧮 Price Calculator'!$B$30+'🧮 Price Calculator'!$B$31*E30+'🧮 Price Calculator'!$B$32*F30+'🧮 Price Calculator'!$B$33*G30+'🧮 Price Calculator'!$B$34*IFERROR(MATCH(B30,'🎯 Theme Analysis'!$A$3:$A$50,0)-1,0)</f>
        <v>182.3744</v>
      </c>
      <c r="L30" s="25">
        <f t="shared" si="1"/>
        <v>-2.38439999999997</v>
      </c>
      <c r="M30" s="32">
        <f t="shared" si="2"/>
        <v>0.0132474026334795</v>
      </c>
      <c r="N30" s="33">
        <f t="shared" si="3"/>
        <v>68.97049836102</v>
      </c>
      <c r="O30" s="24" t="str">
        <f t="shared" si="4"/>
        <v>OVERPRICED</v>
      </c>
    </row>
    <row r="31" ht="13.5" customHeight="1" spans="1:15">
      <c r="A31" s="17">
        <v>42030</v>
      </c>
      <c r="B31" s="17" t="s">
        <v>114</v>
      </c>
      <c r="C31" s="18" t="s">
        <v>245</v>
      </c>
      <c r="D31" s="18">
        <v>2014</v>
      </c>
      <c r="E31" s="18">
        <v>1636</v>
      </c>
      <c r="F31" s="18">
        <v>0</v>
      </c>
      <c r="G31" s="18">
        <f t="shared" si="0"/>
        <v>1</v>
      </c>
      <c r="H31" s="19">
        <v>249.95</v>
      </c>
      <c r="I31" s="19">
        <v>231.48</v>
      </c>
      <c r="J31" s="19">
        <v>320</v>
      </c>
      <c r="K31" s="19">
        <f>'🧮 Price Calculator'!$B$30+'🧮 Price Calculator'!$B$31*E31+'🧮 Price Calculator'!$B$32*F31+'🧮 Price Calculator'!$B$33*G31+'🧮 Price Calculator'!$B$34*IFERROR(MATCH(B31,'🎯 Theme Analysis'!$A$3:$A$50,0)-1,0)</f>
        <v>141.6856</v>
      </c>
      <c r="L31" s="19">
        <f t="shared" si="1"/>
        <v>108.2644</v>
      </c>
      <c r="M31" s="26">
        <f t="shared" si="2"/>
        <v>0.433144228845769</v>
      </c>
      <c r="N31" s="27">
        <f t="shared" si="3"/>
        <v>-7.38947789557912</v>
      </c>
      <c r="O31" s="28" t="str">
        <f t="shared" si="4"/>
        <v>UNDERPRICED</v>
      </c>
    </row>
    <row r="32" ht="13.5" customHeight="1" spans="1:15">
      <c r="A32" s="23">
        <v>42009</v>
      </c>
      <c r="B32" s="23" t="s">
        <v>114</v>
      </c>
      <c r="C32" s="24" t="s">
        <v>246</v>
      </c>
      <c r="D32" s="24">
        <v>2013</v>
      </c>
      <c r="E32" s="24">
        <v>2606</v>
      </c>
      <c r="F32" s="24">
        <v>0</v>
      </c>
      <c r="G32" s="24">
        <f t="shared" si="0"/>
        <v>1</v>
      </c>
      <c r="H32" s="25">
        <v>219.99</v>
      </c>
      <c r="I32" s="25">
        <v>196.57</v>
      </c>
      <c r="J32" s="25">
        <v>167.4</v>
      </c>
      <c r="K32" s="25">
        <f>'🧮 Price Calculator'!$B$30+'🧮 Price Calculator'!$B$31*E32+'🧮 Price Calculator'!$B$32*F32+'🧮 Price Calculator'!$B$33*G32+'🧮 Price Calculator'!$B$34*IFERROR(MATCH(B32,'🎯 Theme Analysis'!$A$3:$A$50,0)-1,0)</f>
        <v>209.1006</v>
      </c>
      <c r="L32" s="25">
        <f t="shared" si="1"/>
        <v>10.8894</v>
      </c>
      <c r="M32" s="32">
        <f t="shared" si="2"/>
        <v>0.0494995227055775</v>
      </c>
      <c r="N32" s="33">
        <f t="shared" si="3"/>
        <v>-10.6459384517478</v>
      </c>
      <c r="O32" s="24" t="str">
        <f t="shared" si="4"/>
        <v>OVERPRICED</v>
      </c>
    </row>
    <row r="33" ht="13.5" customHeight="1" spans="1:15">
      <c r="A33" s="17">
        <v>8275</v>
      </c>
      <c r="B33" s="17" t="s">
        <v>114</v>
      </c>
      <c r="C33" s="18" t="s">
        <v>247</v>
      </c>
      <c r="D33" s="18">
        <v>2007</v>
      </c>
      <c r="E33" s="18">
        <v>1384</v>
      </c>
      <c r="F33" s="18">
        <v>0</v>
      </c>
      <c r="G33" s="18">
        <f t="shared" si="0"/>
        <v>1</v>
      </c>
      <c r="H33" s="19">
        <v>149.99</v>
      </c>
      <c r="I33" s="19">
        <v>812.87</v>
      </c>
      <c r="J33" s="19">
        <v>327.93</v>
      </c>
      <c r="K33" s="19">
        <f>'🧮 Price Calculator'!$B$30+'🧮 Price Calculator'!$B$31*E33+'🧮 Price Calculator'!$B$32*F33+'🧮 Price Calculator'!$B$33*G33+'🧮 Price Calculator'!$B$34*IFERROR(MATCH(B33,'🎯 Theme Analysis'!$A$3:$A$50,0)-1,0)</f>
        <v>124.1716</v>
      </c>
      <c r="L33" s="19">
        <f t="shared" si="1"/>
        <v>25.8184</v>
      </c>
      <c r="M33" s="26">
        <f t="shared" si="2"/>
        <v>0.172134142276152</v>
      </c>
      <c r="N33" s="27">
        <f t="shared" si="3"/>
        <v>441.949463297553</v>
      </c>
      <c r="O33" s="28" t="str">
        <f t="shared" si="4"/>
        <v>UNDERPRICED</v>
      </c>
    </row>
    <row r="34" ht="13.5" customHeight="1" spans="1:15">
      <c r="A34" s="17">
        <v>8043</v>
      </c>
      <c r="B34" s="17" t="s">
        <v>114</v>
      </c>
      <c r="C34" s="18" t="s">
        <v>248</v>
      </c>
      <c r="D34" s="18">
        <v>2010</v>
      </c>
      <c r="E34" s="18">
        <v>1123</v>
      </c>
      <c r="F34" s="18">
        <v>0</v>
      </c>
      <c r="G34" s="18">
        <f t="shared" si="0"/>
        <v>1</v>
      </c>
      <c r="H34" s="19">
        <v>199.99</v>
      </c>
      <c r="I34" s="19">
        <v>390.47</v>
      </c>
      <c r="J34" s="19">
        <v>258.2</v>
      </c>
      <c r="K34" s="19">
        <f>'🧮 Price Calculator'!$B$30+'🧮 Price Calculator'!$B$31*E34+'🧮 Price Calculator'!$B$32*F34+'🧮 Price Calculator'!$B$33*G34+'🧮 Price Calculator'!$B$34*IFERROR(MATCH(B34,'🎯 Theme Analysis'!$A$3:$A$50,0)-1,0)</f>
        <v>106.0321</v>
      </c>
      <c r="L34" s="19">
        <f t="shared" si="1"/>
        <v>93.9579</v>
      </c>
      <c r="M34" s="26">
        <f t="shared" si="2"/>
        <v>0.469812990649532</v>
      </c>
      <c r="N34" s="27">
        <f t="shared" si="3"/>
        <v>95.2447622381119</v>
      </c>
      <c r="O34" s="28" t="str">
        <f t="shared" si="4"/>
        <v>UNDERPRICED</v>
      </c>
    </row>
    <row r="35" ht="13.5" customHeight="1" spans="1:15">
      <c r="A35" s="17">
        <v>60052</v>
      </c>
      <c r="B35" s="17" t="s">
        <v>75</v>
      </c>
      <c r="C35" s="18" t="s">
        <v>249</v>
      </c>
      <c r="D35" s="18">
        <v>2014</v>
      </c>
      <c r="E35" s="18">
        <v>888</v>
      </c>
      <c r="F35" s="18">
        <v>4</v>
      </c>
      <c r="G35" s="18">
        <f t="shared" si="0"/>
        <v>1</v>
      </c>
      <c r="H35" s="19">
        <v>199.99</v>
      </c>
      <c r="I35" s="19">
        <v>176.41</v>
      </c>
      <c r="J35" s="19">
        <v>180</v>
      </c>
      <c r="K35" s="19">
        <f>'🧮 Price Calculator'!$B$30+'🧮 Price Calculator'!$B$31*E35+'🧮 Price Calculator'!$B$32*F35+'🧮 Price Calculator'!$B$33*G35+'🧮 Price Calculator'!$B$34*IFERROR(MATCH(B35,'🎯 Theme Analysis'!$A$3:$A$50,0)-1,0)</f>
        <v>98.4692</v>
      </c>
      <c r="L35" s="19">
        <f t="shared" si="1"/>
        <v>101.5208</v>
      </c>
      <c r="M35" s="26">
        <f t="shared" si="2"/>
        <v>0.507629381469073</v>
      </c>
      <c r="N35" s="27">
        <f t="shared" si="3"/>
        <v>-11.7905895294765</v>
      </c>
      <c r="O35" s="28" t="str">
        <f t="shared" si="4"/>
        <v>UNDERPRICED</v>
      </c>
    </row>
    <row r="36" ht="13.5" customHeight="1" spans="1:15">
      <c r="A36" s="17">
        <v>7939</v>
      </c>
      <c r="B36" s="17" t="s">
        <v>75</v>
      </c>
      <c r="C36" s="18" t="s">
        <v>249</v>
      </c>
      <c r="D36" s="18">
        <v>2010</v>
      </c>
      <c r="E36" s="18">
        <v>839</v>
      </c>
      <c r="F36" s="18">
        <v>4</v>
      </c>
      <c r="G36" s="18">
        <f t="shared" si="0"/>
        <v>1</v>
      </c>
      <c r="H36" s="19">
        <v>179.99</v>
      </c>
      <c r="I36" s="19">
        <v>207.41</v>
      </c>
      <c r="J36" s="19">
        <v>152</v>
      </c>
      <c r="K36" s="19">
        <f>'🧮 Price Calculator'!$B$30+'🧮 Price Calculator'!$B$31*E36+'🧮 Price Calculator'!$B$32*F36+'🧮 Price Calculator'!$B$33*G36+'🧮 Price Calculator'!$B$34*IFERROR(MATCH(B36,'🎯 Theme Analysis'!$A$3:$A$50,0)-1,0)</f>
        <v>95.0637</v>
      </c>
      <c r="L36" s="19">
        <f t="shared" si="1"/>
        <v>84.9263</v>
      </c>
      <c r="M36" s="26">
        <f t="shared" si="2"/>
        <v>0.471838991055059</v>
      </c>
      <c r="N36" s="27">
        <f t="shared" si="3"/>
        <v>15.2341796766487</v>
      </c>
      <c r="O36" s="28" t="str">
        <f t="shared" si="4"/>
        <v>UNDERPRICED</v>
      </c>
    </row>
    <row r="37" ht="13.5" customHeight="1" spans="1:15">
      <c r="A37" s="17">
        <v>60051</v>
      </c>
      <c r="B37" s="17" t="s">
        <v>75</v>
      </c>
      <c r="C37" s="18" t="s">
        <v>250</v>
      </c>
      <c r="D37" s="18">
        <v>2014</v>
      </c>
      <c r="E37" s="18">
        <v>610</v>
      </c>
      <c r="F37" s="18">
        <v>3</v>
      </c>
      <c r="G37" s="18">
        <f t="shared" si="0"/>
        <v>2</v>
      </c>
      <c r="H37" s="19">
        <v>149.99</v>
      </c>
      <c r="I37" s="19">
        <v>143.65</v>
      </c>
      <c r="J37" s="19">
        <v>102.5</v>
      </c>
      <c r="K37" s="19">
        <f>'🧮 Price Calculator'!$B$30+'🧮 Price Calculator'!$B$31*E37+'🧮 Price Calculator'!$B$32*F37+'🧮 Price Calculator'!$B$33*G37+'🧮 Price Calculator'!$B$34*IFERROR(MATCH(B37,'🎯 Theme Analysis'!$A$3:$A$50,0)-1,0)</f>
        <v>69.2832</v>
      </c>
      <c r="L37" s="19">
        <f t="shared" si="1"/>
        <v>80.7068</v>
      </c>
      <c r="M37" s="26">
        <f t="shared" si="2"/>
        <v>0.538081205413694</v>
      </c>
      <c r="N37" s="27">
        <f t="shared" si="3"/>
        <v>-4.22694846323088</v>
      </c>
      <c r="O37" s="28" t="str">
        <f t="shared" si="4"/>
        <v>UNDERPRICED</v>
      </c>
    </row>
    <row r="38" ht="13.5" customHeight="1" spans="1:15">
      <c r="A38" s="17">
        <v>21010</v>
      </c>
      <c r="B38" s="17" t="s">
        <v>111</v>
      </c>
      <c r="C38" s="18" t="s">
        <v>251</v>
      </c>
      <c r="D38" s="18">
        <v>2011</v>
      </c>
      <c r="E38" s="18">
        <v>2276</v>
      </c>
      <c r="F38" s="18">
        <v>0</v>
      </c>
      <c r="G38" s="18">
        <f t="shared" si="0"/>
        <v>1</v>
      </c>
      <c r="H38" s="19">
        <v>199.99</v>
      </c>
      <c r="I38" s="19">
        <v>293.51</v>
      </c>
      <c r="J38" s="19">
        <v>235.13</v>
      </c>
      <c r="K38" s="19">
        <f>'🧮 Price Calculator'!$B$30+'🧮 Price Calculator'!$B$31*E38+'🧮 Price Calculator'!$B$32*F38+'🧮 Price Calculator'!$B$33*G38+'🧮 Price Calculator'!$B$34*IFERROR(MATCH(B38,'🎯 Theme Analysis'!$A$3:$A$50,0)-1,0)</f>
        <v>186.0492</v>
      </c>
      <c r="L38" s="19">
        <f t="shared" si="1"/>
        <v>13.9408</v>
      </c>
      <c r="M38" s="26">
        <f t="shared" si="2"/>
        <v>0.0697074853742687</v>
      </c>
      <c r="N38" s="27">
        <f t="shared" si="3"/>
        <v>46.7623381169058</v>
      </c>
      <c r="O38" s="28" t="str">
        <f t="shared" si="4"/>
        <v>FAIR VALUE</v>
      </c>
    </row>
    <row r="39" ht="13.5" customHeight="1" spans="1:15">
      <c r="A39" s="17">
        <v>21050</v>
      </c>
      <c r="B39" s="17" t="s">
        <v>111</v>
      </c>
      <c r="C39" s="18" t="s">
        <v>252</v>
      </c>
      <c r="D39" s="18">
        <v>2013</v>
      </c>
      <c r="E39" s="18">
        <v>1211</v>
      </c>
      <c r="F39" s="18">
        <v>0</v>
      </c>
      <c r="G39" s="18">
        <f t="shared" si="0"/>
        <v>1</v>
      </c>
      <c r="H39" s="19">
        <v>149.99</v>
      </c>
      <c r="I39" s="19">
        <v>177.42</v>
      </c>
      <c r="J39" s="19">
        <v>163.47</v>
      </c>
      <c r="K39" s="19">
        <f>'🧮 Price Calculator'!$B$30+'🧮 Price Calculator'!$B$31*E39+'🧮 Price Calculator'!$B$32*F39+'🧮 Price Calculator'!$B$33*G39+'🧮 Price Calculator'!$B$34*IFERROR(MATCH(B39,'🎯 Theme Analysis'!$A$3:$A$50,0)-1,0)</f>
        <v>112.0317</v>
      </c>
      <c r="L39" s="19">
        <f t="shared" si="1"/>
        <v>37.9583</v>
      </c>
      <c r="M39" s="26">
        <f t="shared" si="2"/>
        <v>0.253072204813654</v>
      </c>
      <c r="N39" s="27">
        <f t="shared" si="3"/>
        <v>18.2878858590573</v>
      </c>
      <c r="O39" s="28" t="str">
        <f t="shared" si="4"/>
        <v>UNDERPRICED</v>
      </c>
    </row>
    <row r="40" ht="13.5" customHeight="1" spans="1:15">
      <c r="A40" s="17">
        <v>70810</v>
      </c>
      <c r="B40" s="17" t="s">
        <v>253</v>
      </c>
      <c r="C40" s="18" t="s">
        <v>254</v>
      </c>
      <c r="D40" s="18">
        <v>2014</v>
      </c>
      <c r="E40" s="18">
        <v>2741</v>
      </c>
      <c r="F40" s="18">
        <v>4</v>
      </c>
      <c r="G40" s="18">
        <f t="shared" si="0"/>
        <v>1</v>
      </c>
      <c r="H40" s="19">
        <v>249.99</v>
      </c>
      <c r="I40" s="19">
        <v>234.99</v>
      </c>
      <c r="J40" s="19">
        <v>196.93</v>
      </c>
      <c r="K40" s="19">
        <f>'🧮 Price Calculator'!$B$30+'🧮 Price Calculator'!$B$31*E40+'🧮 Price Calculator'!$B$32*F40+'🧮 Price Calculator'!$B$33*G40+'🧮 Price Calculator'!$B$34*IFERROR(MATCH(B40,'🎯 Theme Analysis'!$A$3:$A$50,0)-1,0)</f>
        <v>224.3427</v>
      </c>
      <c r="L40" s="19">
        <f t="shared" si="1"/>
        <v>25.6473</v>
      </c>
      <c r="M40" s="26">
        <f t="shared" si="2"/>
        <v>0.102593303732149</v>
      </c>
      <c r="N40" s="27">
        <f t="shared" si="3"/>
        <v>-6.00024000960038</v>
      </c>
      <c r="O40" s="28" t="str">
        <f t="shared" si="4"/>
        <v>FAIR VALUE</v>
      </c>
    </row>
    <row r="41" ht="13.5" customHeight="1" spans="1:15">
      <c r="A41" s="17">
        <v>8674</v>
      </c>
      <c r="B41" s="17" t="s">
        <v>138</v>
      </c>
      <c r="C41" s="18" t="s">
        <v>255</v>
      </c>
      <c r="D41" s="18">
        <v>2006</v>
      </c>
      <c r="E41" s="18">
        <v>1246</v>
      </c>
      <c r="F41" s="18">
        <v>0</v>
      </c>
      <c r="G41" s="18">
        <f t="shared" si="0"/>
        <v>1</v>
      </c>
      <c r="H41" s="19">
        <v>139.99</v>
      </c>
      <c r="I41" s="19">
        <v>527.27</v>
      </c>
      <c r="J41" s="19">
        <v>217.8</v>
      </c>
      <c r="K41" s="19">
        <f>'🧮 Price Calculator'!$B$30+'🧮 Price Calculator'!$B$31*E41+'🧮 Price Calculator'!$B$32*F41+'🧮 Price Calculator'!$B$33*G41+'🧮 Price Calculator'!$B$34*IFERROR(MATCH(B41,'🎯 Theme Analysis'!$A$3:$A$50,0)-1,0)</f>
        <v>114.3478</v>
      </c>
      <c r="L41" s="19">
        <f t="shared" si="1"/>
        <v>25.6422</v>
      </c>
      <c r="M41" s="26">
        <f t="shared" si="2"/>
        <v>0.183171655118223</v>
      </c>
      <c r="N41" s="27">
        <f t="shared" si="3"/>
        <v>276.648332023716</v>
      </c>
      <c r="O41" s="28" t="str">
        <f t="shared" si="4"/>
        <v>UNDERPRICED</v>
      </c>
    </row>
    <row r="42" ht="13.5" customHeight="1" spans="1:15">
      <c r="A42" s="23">
        <v>10233</v>
      </c>
      <c r="B42" s="23" t="s">
        <v>140</v>
      </c>
      <c r="C42" s="24" t="s">
        <v>256</v>
      </c>
      <c r="D42" s="24">
        <v>2013</v>
      </c>
      <c r="E42" s="24">
        <v>1351</v>
      </c>
      <c r="F42" s="24">
        <v>6</v>
      </c>
      <c r="G42" s="24">
        <f t="shared" si="0"/>
        <v>1</v>
      </c>
      <c r="H42" s="25">
        <v>129.99</v>
      </c>
      <c r="I42" s="25">
        <v>164.39</v>
      </c>
      <c r="J42" s="25">
        <v>112.73</v>
      </c>
      <c r="K42" s="25">
        <f>'🧮 Price Calculator'!$B$30+'🧮 Price Calculator'!$B$31*E42+'🧮 Price Calculator'!$B$32*F42+'🧮 Price Calculator'!$B$33*G42+'🧮 Price Calculator'!$B$34*IFERROR(MATCH(B42,'🎯 Theme Analysis'!$A$3:$A$50,0)-1,0)</f>
        <v>132.0061</v>
      </c>
      <c r="L42" s="25">
        <f t="shared" si="1"/>
        <v>-2.01609999999997</v>
      </c>
      <c r="M42" s="32">
        <f t="shared" si="2"/>
        <v>0.0155096545888143</v>
      </c>
      <c r="N42" s="33">
        <f t="shared" si="3"/>
        <v>26.4635741210862</v>
      </c>
      <c r="O42" s="24" t="str">
        <f t="shared" si="4"/>
        <v>OVERPRICED</v>
      </c>
    </row>
    <row r="43" ht="13.5" customHeight="1" spans="1:15">
      <c r="A43" s="23">
        <v>10194</v>
      </c>
      <c r="B43" s="23" t="s">
        <v>140</v>
      </c>
      <c r="C43" s="24" t="s">
        <v>257</v>
      </c>
      <c r="D43" s="24">
        <v>2009</v>
      </c>
      <c r="E43" s="24">
        <v>1085</v>
      </c>
      <c r="F43" s="24">
        <v>3</v>
      </c>
      <c r="G43" s="24">
        <f t="shared" si="0"/>
        <v>1</v>
      </c>
      <c r="H43" s="25">
        <v>99.99</v>
      </c>
      <c r="I43" s="25">
        <v>384.35</v>
      </c>
      <c r="J43" s="25">
        <v>266</v>
      </c>
      <c r="K43" s="25">
        <f>'🧮 Price Calculator'!$B$30+'🧮 Price Calculator'!$B$31*E43+'🧮 Price Calculator'!$B$32*F43+'🧮 Price Calculator'!$B$33*G43+'🧮 Price Calculator'!$B$34*IFERROR(MATCH(B43,'🎯 Theme Analysis'!$A$3:$A$50,0)-1,0)</f>
        <v>108.5133</v>
      </c>
      <c r="L43" s="25">
        <f t="shared" si="1"/>
        <v>-8.52330000000002</v>
      </c>
      <c r="M43" s="32">
        <f t="shared" si="2"/>
        <v>0.0852415241524155</v>
      </c>
      <c r="N43" s="33">
        <f t="shared" si="3"/>
        <v>284.388438843884</v>
      </c>
      <c r="O43" s="24" t="str">
        <f t="shared" si="4"/>
        <v>FAIR VALUE</v>
      </c>
    </row>
    <row r="44" ht="13.5" customHeight="1" spans="1:15">
      <c r="A44" s="17">
        <v>4534</v>
      </c>
      <c r="B44" s="17" t="s">
        <v>140</v>
      </c>
      <c r="C44" s="18" t="s">
        <v>258</v>
      </c>
      <c r="D44" s="18">
        <v>2002</v>
      </c>
      <c r="E44" s="18">
        <v>456</v>
      </c>
      <c r="F44" s="18">
        <v>5</v>
      </c>
      <c r="G44" s="18">
        <f t="shared" si="0"/>
        <v>2</v>
      </c>
      <c r="H44" s="19">
        <v>159.99</v>
      </c>
      <c r="I44" s="19">
        <v>257.87</v>
      </c>
      <c r="J44" s="19">
        <v>162.53</v>
      </c>
      <c r="K44" s="19">
        <f>'🧮 Price Calculator'!$B$30+'🧮 Price Calculator'!$B$31*E44+'🧮 Price Calculator'!$B$32*F44+'🧮 Price Calculator'!$B$33*G44+'🧮 Price Calculator'!$B$34*IFERROR(MATCH(B44,'🎯 Theme Analysis'!$A$3:$A$50,0)-1,0)</f>
        <v>59.9386</v>
      </c>
      <c r="L44" s="19">
        <f t="shared" si="1"/>
        <v>100.0514</v>
      </c>
      <c r="M44" s="26">
        <f t="shared" si="2"/>
        <v>0.625360335020939</v>
      </c>
      <c r="N44" s="27">
        <f t="shared" si="3"/>
        <v>61.1788236764798</v>
      </c>
      <c r="O44" s="28" t="str">
        <f t="shared" si="4"/>
        <v>UNDERPRICED</v>
      </c>
    </row>
    <row r="45" ht="13.5" customHeight="1" spans="1:15">
      <c r="A45" s="17">
        <v>4535</v>
      </c>
      <c r="B45" s="17" t="s">
        <v>140</v>
      </c>
      <c r="C45" s="18" t="s">
        <v>259</v>
      </c>
      <c r="D45" s="18">
        <v>2002</v>
      </c>
      <c r="E45" s="18">
        <v>762</v>
      </c>
      <c r="F45" s="18">
        <v>5</v>
      </c>
      <c r="G45" s="18">
        <f t="shared" si="0"/>
        <v>2</v>
      </c>
      <c r="H45" s="19">
        <v>169.99</v>
      </c>
      <c r="I45" s="19">
        <v>300.07</v>
      </c>
      <c r="J45" s="19">
        <v>196.07</v>
      </c>
      <c r="K45" s="19">
        <f>'🧮 Price Calculator'!$B$30+'🧮 Price Calculator'!$B$31*E45+'🧮 Price Calculator'!$B$32*F45+'🧮 Price Calculator'!$B$33*G45+'🧮 Price Calculator'!$B$34*IFERROR(MATCH(B45,'🎯 Theme Analysis'!$A$3:$A$50,0)-1,0)</f>
        <v>81.2056</v>
      </c>
      <c r="L45" s="19">
        <f t="shared" si="1"/>
        <v>88.7844</v>
      </c>
      <c r="M45" s="26">
        <f t="shared" si="2"/>
        <v>0.522291899523501</v>
      </c>
      <c r="N45" s="27">
        <f t="shared" si="3"/>
        <v>76.5221483616683</v>
      </c>
      <c r="O45" s="28" t="str">
        <f t="shared" si="4"/>
        <v>UNDERPRICED</v>
      </c>
    </row>
    <row r="46" ht="13.5" customHeight="1" spans="1:15">
      <c r="A46" s="17">
        <v>9450</v>
      </c>
      <c r="B46" s="17" t="s">
        <v>166</v>
      </c>
      <c r="C46" s="18" t="s">
        <v>260</v>
      </c>
      <c r="D46" s="18">
        <v>2012</v>
      </c>
      <c r="E46" s="18">
        <v>915</v>
      </c>
      <c r="F46" s="18">
        <v>7</v>
      </c>
      <c r="G46" s="18">
        <f t="shared" si="0"/>
        <v>1</v>
      </c>
      <c r="H46" s="19">
        <v>119.99</v>
      </c>
      <c r="I46" s="19">
        <v>103.87</v>
      </c>
      <c r="J46" s="19">
        <v>56.13</v>
      </c>
      <c r="K46" s="19">
        <f>'🧮 Price Calculator'!$B$30+'🧮 Price Calculator'!$B$31*E46+'🧮 Price Calculator'!$B$32*F46+'🧮 Price Calculator'!$B$33*G46+'🧮 Price Calculator'!$B$34*IFERROR(MATCH(B46,'🎯 Theme Analysis'!$A$3:$A$50,0)-1,0)</f>
        <v>106.7483</v>
      </c>
      <c r="L46" s="19">
        <f t="shared" si="1"/>
        <v>13.2417</v>
      </c>
      <c r="M46" s="26">
        <f t="shared" si="2"/>
        <v>0.110356696391366</v>
      </c>
      <c r="N46" s="27">
        <f t="shared" si="3"/>
        <v>-13.4344528710726</v>
      </c>
      <c r="O46" s="28" t="str">
        <f t="shared" si="4"/>
        <v>FAIR VALUE</v>
      </c>
    </row>
    <row r="47" ht="13.5" customHeight="1" spans="1:15">
      <c r="A47" s="23">
        <v>2507</v>
      </c>
      <c r="B47" s="23" t="s">
        <v>166</v>
      </c>
      <c r="C47" s="24" t="s">
        <v>261</v>
      </c>
      <c r="D47" s="24">
        <v>2011</v>
      </c>
      <c r="E47" s="24">
        <v>1180</v>
      </c>
      <c r="F47" s="24">
        <v>8</v>
      </c>
      <c r="G47" s="24">
        <f t="shared" si="0"/>
        <v>1</v>
      </c>
      <c r="H47" s="25">
        <v>119.99</v>
      </c>
      <c r="I47" s="25">
        <v>184.15</v>
      </c>
      <c r="J47" s="25">
        <v>144.13</v>
      </c>
      <c r="K47" s="25">
        <f>'🧮 Price Calculator'!$B$30+'🧮 Price Calculator'!$B$31*E47+'🧮 Price Calculator'!$B$32*F47+'🧮 Price Calculator'!$B$33*G47+'🧮 Price Calculator'!$B$34*IFERROR(MATCH(B47,'🎯 Theme Analysis'!$A$3:$A$50,0)-1,0)</f>
        <v>126.8344</v>
      </c>
      <c r="L47" s="25">
        <f t="shared" si="1"/>
        <v>-6.84440000000002</v>
      </c>
      <c r="M47" s="32">
        <f t="shared" si="2"/>
        <v>0.0570414201183434</v>
      </c>
      <c r="N47" s="33">
        <f t="shared" si="3"/>
        <v>53.4711225935495</v>
      </c>
      <c r="O47" s="24" t="str">
        <f t="shared" si="4"/>
        <v>FAIR VALUE</v>
      </c>
    </row>
    <row r="48" ht="13.5" customHeight="1" spans="1:15">
      <c r="A48" s="20">
        <v>10223</v>
      </c>
      <c r="B48" s="20" t="s">
        <v>36</v>
      </c>
      <c r="C48" s="21" t="s">
        <v>262</v>
      </c>
      <c r="D48" s="21">
        <v>2012</v>
      </c>
      <c r="E48" s="21">
        <v>1575</v>
      </c>
      <c r="F48" s="21">
        <v>9</v>
      </c>
      <c r="G48" s="21">
        <f t="shared" si="0"/>
        <v>1</v>
      </c>
      <c r="H48" s="22">
        <v>119.99</v>
      </c>
      <c r="I48" s="22">
        <v>127.03</v>
      </c>
      <c r="J48" s="22">
        <v>94.53</v>
      </c>
      <c r="K48" s="22">
        <f>'🧮 Price Calculator'!$B$30+'🧮 Price Calculator'!$B$31*E48+'🧮 Price Calculator'!$B$32*F48+'🧮 Price Calculator'!$B$33*G48+'🧮 Price Calculator'!$B$34*IFERROR(MATCH(B48,'🎯 Theme Analysis'!$A$3:$A$50,0)-1,0)</f>
        <v>156.0719</v>
      </c>
      <c r="L48" s="22">
        <f t="shared" si="1"/>
        <v>-36.0819</v>
      </c>
      <c r="M48" s="29">
        <f t="shared" si="2"/>
        <v>0.300707558963247</v>
      </c>
      <c r="N48" s="30">
        <f t="shared" si="3"/>
        <v>5.8671555962997</v>
      </c>
      <c r="O48" s="31" t="str">
        <f t="shared" si="4"/>
        <v>UNDERPRICED</v>
      </c>
    </row>
    <row r="49" ht="13.5" customHeight="1" spans="1:15">
      <c r="A49" s="23">
        <v>10176</v>
      </c>
      <c r="B49" s="23" t="s">
        <v>36</v>
      </c>
      <c r="C49" s="24" t="s">
        <v>263</v>
      </c>
      <c r="D49" s="24">
        <v>2006</v>
      </c>
      <c r="E49" s="24">
        <v>869</v>
      </c>
      <c r="F49" s="24">
        <v>12</v>
      </c>
      <c r="G49" s="24">
        <f t="shared" si="0"/>
        <v>1</v>
      </c>
      <c r="H49" s="25">
        <v>99.99</v>
      </c>
      <c r="I49" s="25">
        <v>221.53</v>
      </c>
      <c r="J49" s="25">
        <v>108.93</v>
      </c>
      <c r="K49" s="25">
        <f>'🧮 Price Calculator'!$B$30+'🧮 Price Calculator'!$B$31*E49+'🧮 Price Calculator'!$B$32*F49+'🧮 Price Calculator'!$B$33*G49+'🧮 Price Calculator'!$B$34*IFERROR(MATCH(B49,'🎯 Theme Analysis'!$A$3:$A$50,0)-1,0)</f>
        <v>112.0107</v>
      </c>
      <c r="L49" s="25">
        <f t="shared" si="1"/>
        <v>-12.0207</v>
      </c>
      <c r="M49" s="32">
        <f t="shared" si="2"/>
        <v>0.12021902190219</v>
      </c>
      <c r="N49" s="33">
        <f t="shared" si="3"/>
        <v>121.552155215522</v>
      </c>
      <c r="O49" s="24" t="str">
        <f t="shared" si="4"/>
        <v>FAIR VALUE</v>
      </c>
    </row>
    <row r="50" ht="13.5" customHeight="1" spans="1:15">
      <c r="A50" s="20">
        <v>6073</v>
      </c>
      <c r="B50" s="20" t="s">
        <v>36</v>
      </c>
      <c r="C50" s="21" t="s">
        <v>264</v>
      </c>
      <c r="D50" s="21">
        <v>1984</v>
      </c>
      <c r="E50" s="21">
        <v>410</v>
      </c>
      <c r="F50" s="21">
        <v>6</v>
      </c>
      <c r="G50" s="21">
        <f t="shared" si="0"/>
        <v>2</v>
      </c>
      <c r="H50" s="22">
        <v>26.99</v>
      </c>
      <c r="I50" s="22">
        <v>332.33</v>
      </c>
      <c r="J50" s="22">
        <v>95.13</v>
      </c>
      <c r="K50" s="22">
        <f>'🧮 Price Calculator'!$B$30+'🧮 Price Calculator'!$B$31*E50+'🧮 Price Calculator'!$B$32*F50+'🧮 Price Calculator'!$B$33*G50+'🧮 Price Calculator'!$B$34*IFERROR(MATCH(B50,'🎯 Theme Analysis'!$A$3:$A$50,0)-1,0)</f>
        <v>61.9022</v>
      </c>
      <c r="L50" s="22">
        <f t="shared" si="1"/>
        <v>-34.9122</v>
      </c>
      <c r="M50" s="29">
        <f t="shared" si="2"/>
        <v>1.29352352723231</v>
      </c>
      <c r="N50" s="30">
        <f t="shared" si="3"/>
        <v>1131.30789181178</v>
      </c>
      <c r="O50" s="31" t="str">
        <f t="shared" si="4"/>
        <v>UNDERPRICED</v>
      </c>
    </row>
    <row r="51" ht="13.5" customHeight="1" spans="1:15">
      <c r="A51" s="17">
        <v>21118</v>
      </c>
      <c r="B51" s="17" t="s">
        <v>122</v>
      </c>
      <c r="C51" s="18" t="s">
        <v>265</v>
      </c>
      <c r="D51" s="18">
        <v>2014</v>
      </c>
      <c r="E51" s="18">
        <v>922</v>
      </c>
      <c r="F51" s="18">
        <v>0</v>
      </c>
      <c r="G51" s="18">
        <f t="shared" si="0"/>
        <v>1</v>
      </c>
      <c r="H51" s="19">
        <v>109.99</v>
      </c>
      <c r="I51" s="19">
        <v>155.71</v>
      </c>
      <c r="J51" s="19">
        <v>0</v>
      </c>
      <c r="K51" s="19">
        <f>'🧮 Price Calculator'!$B$30+'🧮 Price Calculator'!$B$31*E51+'🧮 Price Calculator'!$B$32*F51+'🧮 Price Calculator'!$B$33*G51+'🧮 Price Calculator'!$B$34*IFERROR(MATCH(B51,'🎯 Theme Analysis'!$A$3:$A$50,0)-1,0)</f>
        <v>92.4118</v>
      </c>
      <c r="L51" s="19">
        <f t="shared" si="1"/>
        <v>17.5782</v>
      </c>
      <c r="M51" s="26">
        <f t="shared" si="2"/>
        <v>0.159816346940631</v>
      </c>
      <c r="N51" s="27">
        <f t="shared" si="3"/>
        <v>41.5674152195654</v>
      </c>
      <c r="O51" s="28" t="str">
        <f t="shared" si="4"/>
        <v>UNDERPRICED</v>
      </c>
    </row>
    <row r="52" ht="13.5" customHeight="1" spans="1:15">
      <c r="A52" s="20">
        <v>70146</v>
      </c>
      <c r="B52" s="20" t="s">
        <v>165</v>
      </c>
      <c r="C52" s="21" t="s">
        <v>266</v>
      </c>
      <c r="D52" s="21">
        <v>2014</v>
      </c>
      <c r="E52" s="21">
        <v>1301</v>
      </c>
      <c r="F52" s="21">
        <v>7</v>
      </c>
      <c r="G52" s="21">
        <f t="shared" si="0"/>
        <v>1</v>
      </c>
      <c r="H52" s="22">
        <v>119.99</v>
      </c>
      <c r="I52" s="22">
        <v>108</v>
      </c>
      <c r="J52" s="22">
        <v>86</v>
      </c>
      <c r="K52" s="22">
        <f>'🧮 Price Calculator'!$B$30+'🧮 Price Calculator'!$B$31*E52+'🧮 Price Calculator'!$B$32*F52+'🧮 Price Calculator'!$B$33*G52+'🧮 Price Calculator'!$B$34*IFERROR(MATCH(B52,'🎯 Theme Analysis'!$A$3:$A$50,0)-1,0)</f>
        <v>133.4589</v>
      </c>
      <c r="L52" s="22">
        <f t="shared" si="1"/>
        <v>-13.4689</v>
      </c>
      <c r="M52" s="29">
        <f t="shared" si="2"/>
        <v>0.112250187515627</v>
      </c>
      <c r="N52" s="30">
        <f t="shared" si="3"/>
        <v>-9.99249937494791</v>
      </c>
      <c r="O52" s="31" t="str">
        <f t="shared" si="4"/>
        <v>FAIR VALUE</v>
      </c>
    </row>
    <row r="53" ht="13.5" customHeight="1" spans="1:15">
      <c r="A53" s="23">
        <v>70728</v>
      </c>
      <c r="B53" s="23" t="s">
        <v>166</v>
      </c>
      <c r="C53" s="24" t="s">
        <v>267</v>
      </c>
      <c r="D53" s="24">
        <v>2014</v>
      </c>
      <c r="E53" s="24">
        <v>1223</v>
      </c>
      <c r="F53" s="24">
        <v>8</v>
      </c>
      <c r="G53" s="24">
        <f t="shared" si="0"/>
        <v>1</v>
      </c>
      <c r="H53" s="25">
        <v>119.99</v>
      </c>
      <c r="I53" s="25">
        <v>102.02</v>
      </c>
      <c r="J53" s="25">
        <v>81</v>
      </c>
      <c r="K53" s="25">
        <f>'🧮 Price Calculator'!$B$30+'🧮 Price Calculator'!$B$31*E53+'🧮 Price Calculator'!$B$32*F53+'🧮 Price Calculator'!$B$33*G53+'🧮 Price Calculator'!$B$34*IFERROR(MATCH(B53,'🎯 Theme Analysis'!$A$3:$A$50,0)-1,0)</f>
        <v>129.8229</v>
      </c>
      <c r="L53" s="25">
        <f t="shared" si="1"/>
        <v>-9.83290000000001</v>
      </c>
      <c r="M53" s="32">
        <f t="shared" si="2"/>
        <v>0.0819476623051922</v>
      </c>
      <c r="N53" s="33">
        <f t="shared" si="3"/>
        <v>-14.9762480206684</v>
      </c>
      <c r="O53" s="24" t="str">
        <f t="shared" si="4"/>
        <v>FAIR VALUE</v>
      </c>
    </row>
    <row r="54" ht="13.5" customHeight="1" spans="1:15">
      <c r="A54" s="17">
        <v>79018</v>
      </c>
      <c r="B54" s="17" t="s">
        <v>142</v>
      </c>
      <c r="C54" s="18" t="s">
        <v>268</v>
      </c>
      <c r="D54" s="18">
        <v>2014</v>
      </c>
      <c r="E54" s="18">
        <v>866</v>
      </c>
      <c r="F54" s="18">
        <v>5</v>
      </c>
      <c r="G54" s="18">
        <f t="shared" si="0"/>
        <v>1</v>
      </c>
      <c r="H54" s="19">
        <v>129.99</v>
      </c>
      <c r="I54" s="19">
        <v>128</v>
      </c>
      <c r="J54" s="19">
        <v>107</v>
      </c>
      <c r="K54" s="19">
        <f>'🧮 Price Calculator'!$B$30+'🧮 Price Calculator'!$B$31*E54+'🧮 Price Calculator'!$B$32*F54+'🧮 Price Calculator'!$B$33*G54+'🧮 Price Calculator'!$B$34*IFERROR(MATCH(B54,'🎯 Theme Analysis'!$A$3:$A$50,0)-1,0)</f>
        <v>96.7464</v>
      </c>
      <c r="L54" s="19">
        <f t="shared" si="1"/>
        <v>33.2436</v>
      </c>
      <c r="M54" s="26">
        <f t="shared" si="2"/>
        <v>0.255739672282483</v>
      </c>
      <c r="N54" s="27">
        <f t="shared" si="3"/>
        <v>-1.53088699130703</v>
      </c>
      <c r="O54" s="28" t="str">
        <f t="shared" si="4"/>
        <v>UNDERPRICED</v>
      </c>
    </row>
    <row r="55" ht="13.5" customHeight="1" spans="1:15">
      <c r="A55" s="23">
        <v>75055</v>
      </c>
      <c r="B55" s="23" t="s">
        <v>69</v>
      </c>
      <c r="C55" s="24" t="s">
        <v>224</v>
      </c>
      <c r="D55" s="24">
        <v>2014</v>
      </c>
      <c r="E55" s="24">
        <v>1359</v>
      </c>
      <c r="F55" s="24">
        <v>6</v>
      </c>
      <c r="G55" s="24">
        <f t="shared" si="0"/>
        <v>1</v>
      </c>
      <c r="H55" s="25">
        <v>129.99</v>
      </c>
      <c r="I55" s="25">
        <v>106.23</v>
      </c>
      <c r="J55" s="25">
        <v>95.89</v>
      </c>
      <c r="K55" s="25">
        <f>'🧮 Price Calculator'!$B$30+'🧮 Price Calculator'!$B$31*E55+'🧮 Price Calculator'!$B$32*F55+'🧮 Price Calculator'!$B$33*G55+'🧮 Price Calculator'!$B$34*IFERROR(MATCH(B55,'🎯 Theme Analysis'!$A$3:$A$50,0)-1,0)</f>
        <v>132.9113</v>
      </c>
      <c r="L55" s="25">
        <f t="shared" si="1"/>
        <v>-2.92129999999995</v>
      </c>
      <c r="M55" s="32">
        <f t="shared" si="2"/>
        <v>0.0224732671743976</v>
      </c>
      <c r="N55" s="33">
        <f t="shared" si="3"/>
        <v>-18.2783291022386</v>
      </c>
      <c r="O55" s="24" t="str">
        <f t="shared" si="4"/>
        <v>OVERPRICED</v>
      </c>
    </row>
    <row r="56" ht="13.5" customHeight="1" spans="1:15">
      <c r="A56" s="17">
        <v>7965</v>
      </c>
      <c r="B56" s="17" t="s">
        <v>69</v>
      </c>
      <c r="C56" s="18" t="s">
        <v>218</v>
      </c>
      <c r="D56" s="18">
        <v>2011</v>
      </c>
      <c r="E56" s="18">
        <v>1254</v>
      </c>
      <c r="F56" s="18">
        <v>6</v>
      </c>
      <c r="G56" s="18">
        <f t="shared" si="0"/>
        <v>1</v>
      </c>
      <c r="H56" s="19">
        <v>139.99</v>
      </c>
      <c r="I56" s="19">
        <v>156.12</v>
      </c>
      <c r="J56" s="19">
        <v>105.89</v>
      </c>
      <c r="K56" s="19">
        <f>'🧮 Price Calculator'!$B$30+'🧮 Price Calculator'!$B$31*E56+'🧮 Price Calculator'!$B$32*F56+'🧮 Price Calculator'!$B$33*G56+'🧮 Price Calculator'!$B$34*IFERROR(MATCH(B56,'🎯 Theme Analysis'!$A$3:$A$50,0)-1,0)</f>
        <v>125.6138</v>
      </c>
      <c r="L56" s="19">
        <f t="shared" si="1"/>
        <v>14.3762</v>
      </c>
      <c r="M56" s="26">
        <f t="shared" si="2"/>
        <v>0.102694478177013</v>
      </c>
      <c r="N56" s="27">
        <f t="shared" si="3"/>
        <v>11.5222515893992</v>
      </c>
      <c r="O56" s="28" t="str">
        <f t="shared" si="4"/>
        <v>FAIR VALUE</v>
      </c>
    </row>
    <row r="57" ht="13.5" customHeight="1" spans="1:15">
      <c r="A57" s="17">
        <v>75060</v>
      </c>
      <c r="B57" s="17" t="s">
        <v>69</v>
      </c>
      <c r="C57" s="18" t="s">
        <v>269</v>
      </c>
      <c r="D57" s="18">
        <v>2014</v>
      </c>
      <c r="E57" s="18">
        <v>1996</v>
      </c>
      <c r="F57" s="18">
        <v>4</v>
      </c>
      <c r="G57" s="18">
        <f t="shared" si="0"/>
        <v>1</v>
      </c>
      <c r="H57" s="19">
        <v>199.99</v>
      </c>
      <c r="I57" s="19">
        <v>208</v>
      </c>
      <c r="J57" s="19">
        <v>0</v>
      </c>
      <c r="K57" s="19">
        <f>'🧮 Price Calculator'!$B$30+'🧮 Price Calculator'!$B$31*E57+'🧮 Price Calculator'!$B$32*F57+'🧮 Price Calculator'!$B$33*G57+'🧮 Price Calculator'!$B$34*IFERROR(MATCH(B57,'🎯 Theme Analysis'!$A$3:$A$50,0)-1,0)</f>
        <v>173.8456</v>
      </c>
      <c r="L57" s="19">
        <f t="shared" si="1"/>
        <v>26.1444</v>
      </c>
      <c r="M57" s="26">
        <f t="shared" si="2"/>
        <v>0.130728536426822</v>
      </c>
      <c r="N57" s="27">
        <f t="shared" si="3"/>
        <v>4.005200260013</v>
      </c>
      <c r="O57" s="28" t="str">
        <f t="shared" si="4"/>
        <v>FAIR VALUE</v>
      </c>
    </row>
    <row r="58" ht="13.5" customHeight="1" spans="1:15">
      <c r="A58" s="17">
        <v>9398</v>
      </c>
      <c r="B58" s="17" t="s">
        <v>114</v>
      </c>
      <c r="C58" s="18" t="s">
        <v>270</v>
      </c>
      <c r="D58" s="18">
        <v>2012</v>
      </c>
      <c r="E58" s="18">
        <v>1327</v>
      </c>
      <c r="F58" s="18">
        <v>0</v>
      </c>
      <c r="G58" s="18">
        <f t="shared" si="0"/>
        <v>1</v>
      </c>
      <c r="H58" s="19">
        <v>199.99</v>
      </c>
      <c r="I58" s="19">
        <v>184.39</v>
      </c>
      <c r="J58" s="19">
        <v>127.13</v>
      </c>
      <c r="K58" s="19">
        <f>'🧮 Price Calculator'!$B$30+'🧮 Price Calculator'!$B$31*E58+'🧮 Price Calculator'!$B$32*F58+'🧮 Price Calculator'!$B$33*G58+'🧮 Price Calculator'!$B$34*IFERROR(MATCH(B58,'🎯 Theme Analysis'!$A$3:$A$50,0)-1,0)</f>
        <v>120.2101</v>
      </c>
      <c r="L58" s="19">
        <f t="shared" si="1"/>
        <v>79.7799</v>
      </c>
      <c r="M58" s="26">
        <f t="shared" si="2"/>
        <v>0.398919445972299</v>
      </c>
      <c r="N58" s="27">
        <f t="shared" si="3"/>
        <v>-7.80039001950099</v>
      </c>
      <c r="O58" s="28" t="str">
        <f t="shared" si="4"/>
        <v>UNDERPRICED</v>
      </c>
    </row>
    <row r="59" ht="13.5" customHeight="1" spans="1:15">
      <c r="A59" s="17">
        <v>42000</v>
      </c>
      <c r="B59" s="17" t="s">
        <v>114</v>
      </c>
      <c r="C59" s="18" t="s">
        <v>271</v>
      </c>
      <c r="D59" s="18">
        <v>2013</v>
      </c>
      <c r="E59" s="18">
        <v>1141</v>
      </c>
      <c r="F59" s="18">
        <v>0</v>
      </c>
      <c r="G59" s="18">
        <f t="shared" si="0"/>
        <v>1</v>
      </c>
      <c r="H59" s="19">
        <v>129.99</v>
      </c>
      <c r="I59" s="19">
        <v>138.02</v>
      </c>
      <c r="J59" s="19">
        <v>97.47</v>
      </c>
      <c r="K59" s="19">
        <f>'🧮 Price Calculator'!$B$30+'🧮 Price Calculator'!$B$31*E59+'🧮 Price Calculator'!$B$32*F59+'🧮 Price Calculator'!$B$33*G59+'🧮 Price Calculator'!$B$34*IFERROR(MATCH(B59,'🎯 Theme Analysis'!$A$3:$A$50,0)-1,0)</f>
        <v>107.2831</v>
      </c>
      <c r="L59" s="19">
        <f t="shared" si="1"/>
        <v>22.7069</v>
      </c>
      <c r="M59" s="26">
        <f t="shared" si="2"/>
        <v>0.174681898607585</v>
      </c>
      <c r="N59" s="27">
        <f t="shared" si="3"/>
        <v>6.17739826140472</v>
      </c>
      <c r="O59" s="28" t="str">
        <f t="shared" si="4"/>
        <v>UNDERPRICED</v>
      </c>
    </row>
    <row r="60" ht="13.5" customHeight="1" spans="1:15">
      <c r="A60" s="23">
        <v>41058</v>
      </c>
      <c r="B60" s="23" t="s">
        <v>168</v>
      </c>
      <c r="C60" s="24" t="s">
        <v>272</v>
      </c>
      <c r="D60" s="24">
        <v>2014</v>
      </c>
      <c r="E60" s="24">
        <v>1120</v>
      </c>
      <c r="F60" s="24">
        <v>4</v>
      </c>
      <c r="G60" s="24">
        <f t="shared" si="0"/>
        <v>1</v>
      </c>
      <c r="H60" s="25">
        <v>109.99</v>
      </c>
      <c r="I60" s="25">
        <v>104.78</v>
      </c>
      <c r="J60" s="25">
        <v>80</v>
      </c>
      <c r="K60" s="25">
        <f>'🧮 Price Calculator'!$B$30+'🧮 Price Calculator'!$B$31*E60+'🧮 Price Calculator'!$B$32*F60+'🧮 Price Calculator'!$B$33*G60+'🧮 Price Calculator'!$B$34*IFERROR(MATCH(B60,'🎯 Theme Analysis'!$A$3:$A$50,0)-1,0)</f>
        <v>116.3392</v>
      </c>
      <c r="L60" s="25">
        <f t="shared" si="1"/>
        <v>-6.34920000000002</v>
      </c>
      <c r="M60" s="32">
        <f t="shared" si="2"/>
        <v>0.0577252477497957</v>
      </c>
      <c r="N60" s="33">
        <f t="shared" si="3"/>
        <v>-4.73679425402309</v>
      </c>
      <c r="O60" s="24" t="str">
        <f t="shared" si="4"/>
        <v>FAIR VALUE</v>
      </c>
    </row>
    <row r="61" ht="13.5" customHeight="1" spans="1:15">
      <c r="A61" s="17">
        <v>8129</v>
      </c>
      <c r="B61" s="17" t="s">
        <v>69</v>
      </c>
      <c r="C61" s="18" t="s">
        <v>273</v>
      </c>
      <c r="D61" s="18">
        <v>2010</v>
      </c>
      <c r="E61" s="18">
        <v>815</v>
      </c>
      <c r="F61" s="18">
        <v>8</v>
      </c>
      <c r="G61" s="18">
        <f t="shared" si="0"/>
        <v>1</v>
      </c>
      <c r="H61" s="19">
        <v>109.99</v>
      </c>
      <c r="I61" s="19">
        <v>234.07</v>
      </c>
      <c r="J61" s="19">
        <v>176.2</v>
      </c>
      <c r="K61" s="19">
        <f>'🧮 Price Calculator'!$B$30+'🧮 Price Calculator'!$B$31*E61+'🧮 Price Calculator'!$B$32*F61+'🧮 Price Calculator'!$B$33*G61+'🧮 Price Calculator'!$B$34*IFERROR(MATCH(B61,'🎯 Theme Analysis'!$A$3:$A$50,0)-1,0)</f>
        <v>98.4405</v>
      </c>
      <c r="L61" s="19">
        <f t="shared" si="1"/>
        <v>11.5495</v>
      </c>
      <c r="M61" s="26">
        <f t="shared" si="2"/>
        <v>0.105005000454587</v>
      </c>
      <c r="N61" s="27">
        <f t="shared" si="3"/>
        <v>112.810255477771</v>
      </c>
      <c r="O61" s="28" t="str">
        <f t="shared" si="4"/>
        <v>FAIR VALUE</v>
      </c>
    </row>
    <row r="62" ht="13.5" customHeight="1" spans="1:15">
      <c r="A62" s="17">
        <v>60026</v>
      </c>
      <c r="B62" s="17" t="s">
        <v>75</v>
      </c>
      <c r="C62" s="18" t="s">
        <v>274</v>
      </c>
      <c r="D62" s="18">
        <v>2013</v>
      </c>
      <c r="E62" s="18">
        <v>914</v>
      </c>
      <c r="F62" s="18">
        <v>8</v>
      </c>
      <c r="G62" s="18">
        <f t="shared" si="0"/>
        <v>1</v>
      </c>
      <c r="H62" s="19">
        <v>119.99</v>
      </c>
      <c r="I62" s="19">
        <v>121.89</v>
      </c>
      <c r="J62" s="19">
        <v>72.59</v>
      </c>
      <c r="K62" s="19">
        <f>'🧮 Price Calculator'!$B$30+'🧮 Price Calculator'!$B$31*E62+'🧮 Price Calculator'!$B$32*F62+'🧮 Price Calculator'!$B$33*G62+'🧮 Price Calculator'!$B$34*IFERROR(MATCH(B62,'🎯 Theme Analysis'!$A$3:$A$50,0)-1,0)</f>
        <v>106.9506</v>
      </c>
      <c r="L62" s="19">
        <f t="shared" si="1"/>
        <v>13.0394</v>
      </c>
      <c r="M62" s="26">
        <f t="shared" si="2"/>
        <v>0.108670722560213</v>
      </c>
      <c r="N62" s="27">
        <f t="shared" si="3"/>
        <v>1.58346528877407</v>
      </c>
      <c r="O62" s="28" t="str">
        <f t="shared" si="4"/>
        <v>FAIR VALUE</v>
      </c>
    </row>
    <row r="63" ht="13.5" customHeight="1" spans="1:15">
      <c r="A63" s="20">
        <v>10175</v>
      </c>
      <c r="B63" s="20" t="s">
        <v>69</v>
      </c>
      <c r="C63" s="21" t="s">
        <v>275</v>
      </c>
      <c r="D63" s="21">
        <v>2006</v>
      </c>
      <c r="E63" s="21">
        <v>1212</v>
      </c>
      <c r="F63" s="21">
        <v>0</v>
      </c>
      <c r="G63" s="21">
        <f t="shared" si="0"/>
        <v>1</v>
      </c>
      <c r="H63" s="22">
        <v>99.99</v>
      </c>
      <c r="I63" s="22">
        <v>523.8</v>
      </c>
      <c r="J63" s="22">
        <v>262.53</v>
      </c>
      <c r="K63" s="22">
        <f>'🧮 Price Calculator'!$B$30+'🧮 Price Calculator'!$B$31*E63+'🧮 Price Calculator'!$B$32*F63+'🧮 Price Calculator'!$B$33*G63+'🧮 Price Calculator'!$B$34*IFERROR(MATCH(B63,'🎯 Theme Analysis'!$A$3:$A$50,0)-1,0)</f>
        <v>112.6832</v>
      </c>
      <c r="L63" s="22">
        <f t="shared" si="1"/>
        <v>-12.6932</v>
      </c>
      <c r="M63" s="29">
        <f t="shared" si="2"/>
        <v>0.126944694469447</v>
      </c>
      <c r="N63" s="30">
        <f t="shared" si="3"/>
        <v>423.852385238524</v>
      </c>
      <c r="O63" s="31" t="str">
        <f t="shared" si="4"/>
        <v>FAIR VALUE</v>
      </c>
    </row>
    <row r="64" ht="13.5" customHeight="1" spans="1:15">
      <c r="A64" s="20">
        <v>10229</v>
      </c>
      <c r="B64" s="20" t="s">
        <v>170</v>
      </c>
      <c r="C64" s="21" t="s">
        <v>276</v>
      </c>
      <c r="D64" s="21">
        <v>2012</v>
      </c>
      <c r="E64" s="21">
        <v>1490</v>
      </c>
      <c r="F64" s="21">
        <v>8</v>
      </c>
      <c r="G64" s="21">
        <f t="shared" si="0"/>
        <v>1</v>
      </c>
      <c r="H64" s="22">
        <v>99.99</v>
      </c>
      <c r="I64" s="22">
        <v>191.53</v>
      </c>
      <c r="J64" s="22">
        <v>148.67</v>
      </c>
      <c r="K64" s="22">
        <f>'🧮 Price Calculator'!$B$30+'🧮 Price Calculator'!$B$31*E64+'🧮 Price Calculator'!$B$32*F64+'🧮 Price Calculator'!$B$33*G64+'🧮 Price Calculator'!$B$34*IFERROR(MATCH(B64,'🎯 Theme Analysis'!$A$3:$A$50,0)-1,0)</f>
        <v>149.0778</v>
      </c>
      <c r="L64" s="22">
        <f t="shared" si="1"/>
        <v>-49.0878</v>
      </c>
      <c r="M64" s="29">
        <f t="shared" si="2"/>
        <v>0.490927092709271</v>
      </c>
      <c r="N64" s="30">
        <f t="shared" si="3"/>
        <v>91.5491549154916</v>
      </c>
      <c r="O64" s="31" t="str">
        <f t="shared" si="4"/>
        <v>UNDERPRICED</v>
      </c>
    </row>
    <row r="65" ht="13.5" customHeight="1" spans="1:15">
      <c r="A65" s="17">
        <v>8811</v>
      </c>
      <c r="B65" s="17" t="s">
        <v>55</v>
      </c>
      <c r="C65" s="18" t="s">
        <v>277</v>
      </c>
      <c r="D65" s="18">
        <v>2004</v>
      </c>
      <c r="E65" s="18">
        <v>215</v>
      </c>
      <c r="F65" s="18">
        <v>0</v>
      </c>
      <c r="G65" s="18">
        <f t="shared" si="0"/>
        <v>3</v>
      </c>
      <c r="H65" s="19">
        <v>29.99</v>
      </c>
      <c r="I65" s="19">
        <v>78.47</v>
      </c>
      <c r="J65" s="19">
        <v>44.24</v>
      </c>
      <c r="K65" s="19">
        <f>'🧮 Price Calculator'!$B$30+'🧮 Price Calculator'!$B$31*E65+'🧮 Price Calculator'!$B$32*F65+'🧮 Price Calculator'!$B$33*G65+'🧮 Price Calculator'!$B$34*IFERROR(MATCH(B65,'🎯 Theme Analysis'!$A$3:$A$50,0)-1,0)</f>
        <v>30.4909</v>
      </c>
      <c r="L65" s="19">
        <f t="shared" si="1"/>
        <v>-0.500900000000005</v>
      </c>
      <c r="M65" s="26">
        <f t="shared" si="2"/>
        <v>0.0167022340780262</v>
      </c>
      <c r="N65" s="27">
        <f t="shared" si="3"/>
        <v>161.653884628209</v>
      </c>
      <c r="O65" s="28" t="str">
        <f t="shared" si="4"/>
        <v>OVERPRICED</v>
      </c>
    </row>
    <row r="66" ht="13.5" customHeight="1" spans="1:15">
      <c r="A66" s="23">
        <v>8625</v>
      </c>
      <c r="B66" s="23" t="s">
        <v>55</v>
      </c>
      <c r="C66" s="24" t="s">
        <v>278</v>
      </c>
      <c r="D66" s="24">
        <v>2006</v>
      </c>
      <c r="E66" s="24">
        <v>179</v>
      </c>
      <c r="F66" s="24">
        <v>0</v>
      </c>
      <c r="G66" s="24">
        <f t="shared" si="0"/>
        <v>3</v>
      </c>
      <c r="H66" s="25">
        <v>24.99</v>
      </c>
      <c r="I66" s="25">
        <v>89.75</v>
      </c>
      <c r="J66" s="25">
        <v>42.87</v>
      </c>
      <c r="K66" s="25">
        <f>'🧮 Price Calculator'!$B$30+'🧮 Price Calculator'!$B$31*E66+'🧮 Price Calculator'!$B$32*F66+'🧮 Price Calculator'!$B$33*G66+'🧮 Price Calculator'!$B$34*IFERROR(MATCH(B66,'🎯 Theme Analysis'!$A$3:$A$50,0)-1,0)</f>
        <v>27.9889</v>
      </c>
      <c r="L66" s="25">
        <f t="shared" si="1"/>
        <v>-2.9989</v>
      </c>
      <c r="M66" s="32">
        <f t="shared" si="2"/>
        <v>0.12000400160064</v>
      </c>
      <c r="N66" s="33">
        <f t="shared" si="3"/>
        <v>259.143657462985</v>
      </c>
      <c r="O66" s="24" t="str">
        <f t="shared" si="4"/>
        <v>FAIR VALUE</v>
      </c>
    </row>
    <row r="67" ht="13.5" customHeight="1" spans="1:15">
      <c r="A67" s="17">
        <v>8626</v>
      </c>
      <c r="B67" s="17" t="s">
        <v>55</v>
      </c>
      <c r="C67" s="18" t="s">
        <v>279</v>
      </c>
      <c r="D67" s="18">
        <v>2006</v>
      </c>
      <c r="E67" s="18">
        <v>132</v>
      </c>
      <c r="F67" s="18">
        <v>0</v>
      </c>
      <c r="G67" s="18">
        <f t="shared" si="0"/>
        <v>3</v>
      </c>
      <c r="H67" s="19">
        <v>24.99</v>
      </c>
      <c r="I67" s="19">
        <v>110.53</v>
      </c>
      <c r="J67" s="19">
        <v>79</v>
      </c>
      <c r="K67" s="19">
        <f>'🧮 Price Calculator'!$B$30+'🧮 Price Calculator'!$B$31*E67+'🧮 Price Calculator'!$B$32*F67+'🧮 Price Calculator'!$B$33*G67+'🧮 Price Calculator'!$B$34*IFERROR(MATCH(B67,'🎯 Theme Analysis'!$A$3:$A$50,0)-1,0)</f>
        <v>24.7224</v>
      </c>
      <c r="L67" s="19">
        <f t="shared" si="1"/>
        <v>0.267599999999998</v>
      </c>
      <c r="M67" s="26">
        <f t="shared" si="2"/>
        <v>0.0107082833133253</v>
      </c>
      <c r="N67" s="27">
        <f t="shared" si="3"/>
        <v>342.296918767507</v>
      </c>
      <c r="O67" s="28" t="str">
        <f t="shared" si="4"/>
        <v>OVERPRICED</v>
      </c>
    </row>
    <row r="68" ht="13.5" customHeight="1" spans="1:15">
      <c r="A68" s="23">
        <v>3187</v>
      </c>
      <c r="B68" s="23" t="s">
        <v>168</v>
      </c>
      <c r="C68" s="24" t="s">
        <v>280</v>
      </c>
      <c r="D68" s="24">
        <v>2012</v>
      </c>
      <c r="E68" s="24">
        <v>221</v>
      </c>
      <c r="F68" s="24">
        <v>2</v>
      </c>
      <c r="G68" s="24">
        <f t="shared" ref="G68:G77" si="5">IF(E68&gt;=800,1,IF(E68&gt;=300,2,IF(E68&gt;=100,3,4)))</f>
        <v>3</v>
      </c>
      <c r="H68" s="25">
        <v>24.99</v>
      </c>
      <c r="I68" s="25">
        <v>104.44</v>
      </c>
      <c r="J68" s="25">
        <v>41.8</v>
      </c>
      <c r="K68" s="25">
        <f>'🧮 Price Calculator'!$B$30+'🧮 Price Calculator'!$B$31*E68+'🧮 Price Calculator'!$B$32*F68+'🧮 Price Calculator'!$B$33*G68+'🧮 Price Calculator'!$B$34*IFERROR(MATCH(B68,'🎯 Theme Analysis'!$A$3:$A$50,0)-1,0)</f>
        <v>34.1287</v>
      </c>
      <c r="L68" s="25">
        <f t="shared" ref="L68:L77" si="6">H68-K68</f>
        <v>-9.1387</v>
      </c>
      <c r="M68" s="32">
        <f t="shared" ref="M68:M77" si="7">IF(H68&lt;&gt;0,ABS(L68)/H68,0)</f>
        <v>0.365694277711085</v>
      </c>
      <c r="N68" s="33">
        <f t="shared" ref="N68:N77" si="8">IF(H68&lt;&gt;0,(I68-H68)/H68*100,0)</f>
        <v>317.927170868347</v>
      </c>
      <c r="O68" s="24" t="str">
        <f t="shared" ref="O68:O77" si="9">IF(M68&gt;0.15,"UNDERPRICED",IF(M68&gt;0.05,"FAIR VALUE","OVERPRICED"))</f>
        <v>UNDERPRICED</v>
      </c>
    </row>
    <row r="69" ht="13.5" customHeight="1" spans="1:15">
      <c r="A69" s="23">
        <v>7886</v>
      </c>
      <c r="B69" s="23" t="s">
        <v>51</v>
      </c>
      <c r="C69" s="24" t="s">
        <v>281</v>
      </c>
      <c r="D69" s="24">
        <v>2008</v>
      </c>
      <c r="E69" s="24">
        <v>267</v>
      </c>
      <c r="F69" s="24">
        <v>2</v>
      </c>
      <c r="G69" s="24">
        <f t="shared" si="5"/>
        <v>3</v>
      </c>
      <c r="H69" s="25">
        <v>29.99</v>
      </c>
      <c r="I69" s="25">
        <v>199.27</v>
      </c>
      <c r="J69" s="25">
        <v>119.53</v>
      </c>
      <c r="K69" s="25">
        <f>'🧮 Price Calculator'!$B$30+'🧮 Price Calculator'!$B$31*E69+'🧮 Price Calculator'!$B$32*F69+'🧮 Price Calculator'!$B$33*G69+'🧮 Price Calculator'!$B$34*IFERROR(MATCH(B69,'🎯 Theme Analysis'!$A$3:$A$50,0)-1,0)</f>
        <v>34.6485</v>
      </c>
      <c r="L69" s="25">
        <f t="shared" si="6"/>
        <v>-4.65850000000001</v>
      </c>
      <c r="M69" s="32">
        <f t="shared" si="7"/>
        <v>0.155335111703902</v>
      </c>
      <c r="N69" s="33">
        <f t="shared" si="8"/>
        <v>564.454818272758</v>
      </c>
      <c r="O69" s="24" t="str">
        <f t="shared" si="9"/>
        <v>UNDERPRICED</v>
      </c>
    </row>
    <row r="70" ht="13.5" customHeight="1" spans="1:15">
      <c r="A70" s="23">
        <v>7786</v>
      </c>
      <c r="B70" s="23" t="s">
        <v>51</v>
      </c>
      <c r="C70" s="24" t="s">
        <v>282</v>
      </c>
      <c r="D70" s="24">
        <v>2007</v>
      </c>
      <c r="E70" s="24">
        <v>293</v>
      </c>
      <c r="F70" s="24">
        <v>2</v>
      </c>
      <c r="G70" s="24">
        <f t="shared" si="5"/>
        <v>3</v>
      </c>
      <c r="H70" s="25">
        <v>29.99</v>
      </c>
      <c r="I70" s="25">
        <v>189.32</v>
      </c>
      <c r="J70" s="25">
        <v>167.4</v>
      </c>
      <c r="K70" s="25">
        <f>'🧮 Price Calculator'!$B$30+'🧮 Price Calculator'!$B$31*E70+'🧮 Price Calculator'!$B$32*F70+'🧮 Price Calculator'!$B$33*G70+'🧮 Price Calculator'!$B$34*IFERROR(MATCH(B70,'🎯 Theme Analysis'!$A$3:$A$50,0)-1,0)</f>
        <v>36.4555</v>
      </c>
      <c r="L70" s="25">
        <f t="shared" si="6"/>
        <v>-6.46550000000001</v>
      </c>
      <c r="M70" s="32">
        <f t="shared" si="7"/>
        <v>0.215588529509837</v>
      </c>
      <c r="N70" s="33">
        <f t="shared" si="8"/>
        <v>531.277092364121</v>
      </c>
      <c r="O70" s="24" t="str">
        <f t="shared" si="9"/>
        <v>UNDERPRICED</v>
      </c>
    </row>
    <row r="71" ht="13.5" customHeight="1" spans="1:15">
      <c r="A71" s="20">
        <v>7781</v>
      </c>
      <c r="B71" s="20" t="s">
        <v>51</v>
      </c>
      <c r="C71" s="21" t="s">
        <v>283</v>
      </c>
      <c r="D71" s="21">
        <v>2006</v>
      </c>
      <c r="E71" s="21">
        <v>386</v>
      </c>
      <c r="F71" s="21">
        <v>3</v>
      </c>
      <c r="G71" s="21">
        <f t="shared" si="5"/>
        <v>2</v>
      </c>
      <c r="H71" s="22">
        <v>29.99</v>
      </c>
      <c r="I71" s="22">
        <v>210.07</v>
      </c>
      <c r="J71" s="22">
        <v>112.87</v>
      </c>
      <c r="K71" s="22">
        <f>'🧮 Price Calculator'!$B$30+'🧮 Price Calculator'!$B$31*E71+'🧮 Price Calculator'!$B$32*F71+'🧮 Price Calculator'!$B$33*G71+'🧮 Price Calculator'!$B$34*IFERROR(MATCH(B71,'🎯 Theme Analysis'!$A$3:$A$50,0)-1,0)</f>
        <v>52.784</v>
      </c>
      <c r="L71" s="22">
        <f t="shared" si="6"/>
        <v>-22.794</v>
      </c>
      <c r="M71" s="29">
        <f t="shared" si="7"/>
        <v>0.760053351117039</v>
      </c>
      <c r="N71" s="30">
        <f t="shared" si="8"/>
        <v>600.466822274091</v>
      </c>
      <c r="O71" s="31" t="str">
        <f t="shared" si="9"/>
        <v>UNDERPRICED</v>
      </c>
    </row>
    <row r="72" ht="13.5" customHeight="1" spans="1:15">
      <c r="A72" s="17">
        <v>7999</v>
      </c>
      <c r="B72" s="17" t="s">
        <v>75</v>
      </c>
      <c r="C72" s="18" t="s">
        <v>284</v>
      </c>
      <c r="D72" s="18">
        <v>2007</v>
      </c>
      <c r="E72" s="18">
        <v>4</v>
      </c>
      <c r="F72" s="18">
        <v>0</v>
      </c>
      <c r="G72" s="18">
        <f t="shared" si="5"/>
        <v>4</v>
      </c>
      <c r="H72" s="19">
        <v>24.99</v>
      </c>
      <c r="I72" s="19">
        <v>136.2</v>
      </c>
      <c r="J72" s="19">
        <v>140.8</v>
      </c>
      <c r="K72" s="19">
        <f>'🧮 Price Calculator'!$B$30+'🧮 Price Calculator'!$B$31*E72+'🧮 Price Calculator'!$B$32*F72+'🧮 Price Calculator'!$B$33*G72+'🧮 Price Calculator'!$B$34*IFERROR(MATCH(B72,'🎯 Theme Analysis'!$A$3:$A$50,0)-1,0)</f>
        <v>5.7676</v>
      </c>
      <c r="L72" s="19">
        <f t="shared" si="6"/>
        <v>19.2224</v>
      </c>
      <c r="M72" s="26">
        <f t="shared" si="7"/>
        <v>0.769203681472589</v>
      </c>
      <c r="N72" s="27">
        <f t="shared" si="8"/>
        <v>445.018007202881</v>
      </c>
      <c r="O72" s="28" t="str">
        <f t="shared" si="9"/>
        <v>UNDERPRICED</v>
      </c>
    </row>
    <row r="73" ht="13.5" customHeight="1" spans="1:15">
      <c r="A73" s="20">
        <v>6073</v>
      </c>
      <c r="B73" s="20" t="s">
        <v>36</v>
      </c>
      <c r="C73" s="21" t="s">
        <v>264</v>
      </c>
      <c r="D73" s="21">
        <v>1984</v>
      </c>
      <c r="E73" s="21">
        <v>410</v>
      </c>
      <c r="F73" s="21">
        <v>6</v>
      </c>
      <c r="G73" s="21">
        <f t="shared" si="5"/>
        <v>2</v>
      </c>
      <c r="H73" s="22">
        <v>26.99</v>
      </c>
      <c r="I73" s="22">
        <v>332.33</v>
      </c>
      <c r="J73" s="22">
        <v>95.13</v>
      </c>
      <c r="K73" s="22">
        <f>'🧮 Price Calculator'!$B$30+'🧮 Price Calculator'!$B$31*E73+'🧮 Price Calculator'!$B$32*F73+'🧮 Price Calculator'!$B$33*G73+'🧮 Price Calculator'!$B$34*IFERROR(MATCH(B73,'🎯 Theme Analysis'!$A$3:$A$50,0)-1,0)</f>
        <v>61.9022</v>
      </c>
      <c r="L73" s="22">
        <f t="shared" si="6"/>
        <v>-34.9122</v>
      </c>
      <c r="M73" s="29">
        <f t="shared" si="7"/>
        <v>1.29352352723231</v>
      </c>
      <c r="N73" s="30">
        <f t="shared" si="8"/>
        <v>1131.30789181178</v>
      </c>
      <c r="O73" s="31" t="str">
        <f t="shared" si="9"/>
        <v>UNDERPRICED</v>
      </c>
    </row>
    <row r="74" ht="13.5" customHeight="1" spans="1:15">
      <c r="A74" s="17">
        <v>10153</v>
      </c>
      <c r="B74" s="17" t="s">
        <v>140</v>
      </c>
      <c r="C74" s="18" t="s">
        <v>285</v>
      </c>
      <c r="D74" s="18">
        <v>2002</v>
      </c>
      <c r="E74" s="18">
        <v>3</v>
      </c>
      <c r="F74" s="18">
        <v>0</v>
      </c>
      <c r="G74" s="18">
        <f t="shared" si="5"/>
        <v>4</v>
      </c>
      <c r="H74" s="19">
        <v>24.99</v>
      </c>
      <c r="I74" s="19">
        <v>99.64</v>
      </c>
      <c r="J74" s="19">
        <v>47.56</v>
      </c>
      <c r="K74" s="19">
        <f>'🧮 Price Calculator'!$B$30+'🧮 Price Calculator'!$B$31*E74+'🧮 Price Calculator'!$B$32*F74+'🧮 Price Calculator'!$B$33*G74+'🧮 Price Calculator'!$B$34*IFERROR(MATCH(B74,'🎯 Theme Analysis'!$A$3:$A$50,0)-1,0)</f>
        <v>3.7193</v>
      </c>
      <c r="L74" s="19">
        <f t="shared" si="6"/>
        <v>21.2707</v>
      </c>
      <c r="M74" s="26">
        <f t="shared" si="7"/>
        <v>0.851168467386955</v>
      </c>
      <c r="N74" s="27">
        <f t="shared" si="8"/>
        <v>298.719487795118</v>
      </c>
      <c r="O74" s="28" t="str">
        <f t="shared" si="9"/>
        <v>UNDERPRICED</v>
      </c>
    </row>
    <row r="75" ht="13.5" customHeight="1" spans="1:15">
      <c r="A75" s="23">
        <v>7682</v>
      </c>
      <c r="B75" s="23" t="s">
        <v>123</v>
      </c>
      <c r="C75" s="24" t="s">
        <v>286</v>
      </c>
      <c r="D75" s="24">
        <v>2009</v>
      </c>
      <c r="E75" s="24">
        <v>244</v>
      </c>
      <c r="F75" s="24">
        <v>5</v>
      </c>
      <c r="G75" s="24">
        <f t="shared" si="5"/>
        <v>3</v>
      </c>
      <c r="H75" s="25">
        <v>29.99</v>
      </c>
      <c r="I75" s="25">
        <v>94.07</v>
      </c>
      <c r="J75" s="25">
        <v>49.47</v>
      </c>
      <c r="K75" s="25">
        <f>'🧮 Price Calculator'!$B$30+'🧮 Price Calculator'!$B$31*E75+'🧮 Price Calculator'!$B$32*F75+'🧮 Price Calculator'!$B$33*G75+'🧮 Price Calculator'!$B$34*IFERROR(MATCH(B75,'🎯 Theme Analysis'!$A$3:$A$50,0)-1,0)</f>
        <v>38.2886</v>
      </c>
      <c r="L75" s="25">
        <f t="shared" si="6"/>
        <v>-8.2986</v>
      </c>
      <c r="M75" s="32">
        <f t="shared" si="7"/>
        <v>0.276712237412471</v>
      </c>
      <c r="N75" s="33">
        <f t="shared" si="8"/>
        <v>213.671223741247</v>
      </c>
      <c r="O75" s="24" t="str">
        <f t="shared" si="9"/>
        <v>UNDERPRICED</v>
      </c>
    </row>
    <row r="76" ht="13.5" customHeight="1" spans="1:15">
      <c r="A76" s="20">
        <v>18016</v>
      </c>
      <c r="B76" s="20" t="s">
        <v>123</v>
      </c>
      <c r="C76" s="21" t="s">
        <v>287</v>
      </c>
      <c r="D76" s="21">
        <v>2009</v>
      </c>
      <c r="E76" s="21">
        <v>370</v>
      </c>
      <c r="F76" s="21">
        <v>4.6</v>
      </c>
      <c r="G76" s="21">
        <f t="shared" si="5"/>
        <v>2</v>
      </c>
      <c r="H76" s="22">
        <v>37.55</v>
      </c>
      <c r="I76" s="22">
        <v>109.4</v>
      </c>
      <c r="J76" s="22">
        <v>75</v>
      </c>
      <c r="K76" s="22">
        <f>'🧮 Price Calculator'!$B$30+'🧮 Price Calculator'!$B$31*E76+'🧮 Price Calculator'!$B$32*F76+'🧮 Price Calculator'!$B$33*G76+'🧮 Price Calculator'!$B$34*IFERROR(MATCH(B76,'🎯 Theme Analysis'!$A$3:$A$50,0)-1,0)</f>
        <v>54.57456</v>
      </c>
      <c r="L76" s="22">
        <f t="shared" si="6"/>
        <v>-17.02456</v>
      </c>
      <c r="M76" s="29">
        <f t="shared" si="7"/>
        <v>0.453383754993342</v>
      </c>
      <c r="N76" s="30">
        <f t="shared" si="8"/>
        <v>191.344873501997</v>
      </c>
      <c r="O76" s="31" t="str">
        <f t="shared" si="9"/>
        <v>UNDERPRICED</v>
      </c>
    </row>
    <row r="77" ht="13.5" customHeight="1" spans="1:15">
      <c r="A77" s="23">
        <v>34001</v>
      </c>
      <c r="B77" s="23" t="s">
        <v>161</v>
      </c>
      <c r="C77" s="24" t="s">
        <v>287</v>
      </c>
      <c r="D77" s="24">
        <v>2014</v>
      </c>
      <c r="E77" s="24">
        <v>255</v>
      </c>
      <c r="F77" s="24">
        <v>4.2</v>
      </c>
      <c r="G77" s="24">
        <f t="shared" si="5"/>
        <v>3</v>
      </c>
      <c r="H77" s="25">
        <v>28.74</v>
      </c>
      <c r="I77" s="25">
        <v>94.42</v>
      </c>
      <c r="J77" s="25">
        <v>65</v>
      </c>
      <c r="K77" s="25">
        <f>'🧮 Price Calculator'!$B$30+'🧮 Price Calculator'!$B$31*E77+'🧮 Price Calculator'!$B$32*F77+'🧮 Price Calculator'!$B$33*G77+'🧮 Price Calculator'!$B$34*IFERROR(MATCH(B77,'🎯 Theme Analysis'!$A$3:$A$50,0)-1,0)</f>
        <v>39.23142</v>
      </c>
      <c r="L77" s="25">
        <f t="shared" si="6"/>
        <v>-10.49142</v>
      </c>
      <c r="M77" s="32">
        <f t="shared" si="7"/>
        <v>0.365045929018789</v>
      </c>
      <c r="N77" s="33">
        <f t="shared" si="8"/>
        <v>228.531663187196</v>
      </c>
      <c r="O77" s="24" t="str">
        <f t="shared" si="9"/>
        <v>UNDERPRICED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showGridLines="0" topLeftCell="A21" workbookViewId="0">
      <selection activeCell="H11" sqref="H11"/>
    </sheetView>
  </sheetViews>
  <sheetFormatPr defaultColWidth="8.69090909090909" defaultRowHeight="14.5"/>
  <cols>
    <col min="1" max="1" width="28" style="1" customWidth="1"/>
    <col min="2" max="4" width="14" style="1" customWidth="1"/>
    <col min="5" max="5" width="40" style="1" customWidth="1"/>
  </cols>
  <sheetData>
    <row r="1" ht="30" customHeight="1" spans="1:9">
      <c r="A1" s="2" t="s">
        <v>288</v>
      </c>
      <c r="B1" s="2"/>
      <c r="C1" s="2"/>
      <c r="D1" s="2"/>
      <c r="E1" s="2"/>
      <c r="F1" s="2"/>
      <c r="G1" s="2"/>
      <c r="H1" s="2"/>
      <c r="I1" s="2"/>
    </row>
    <row r="3" ht="19.5" customHeight="1" spans="1:9">
      <c r="A3" s="3" t="s">
        <v>289</v>
      </c>
      <c r="B3" s="3"/>
      <c r="C3" s="3"/>
      <c r="D3" s="3"/>
      <c r="E3" s="3"/>
      <c r="F3" s="3"/>
      <c r="G3" s="3"/>
      <c r="H3" s="3"/>
      <c r="I3" s="3"/>
    </row>
    <row r="4" ht="18" customHeight="1" spans="1:5">
      <c r="A4" s="4" t="s">
        <v>290</v>
      </c>
      <c r="B4" s="4" t="s">
        <v>291</v>
      </c>
      <c r="C4" s="4" t="s">
        <v>292</v>
      </c>
      <c r="D4" s="4" t="s">
        <v>28</v>
      </c>
      <c r="E4" s="4" t="s">
        <v>293</v>
      </c>
    </row>
    <row r="5" ht="15.75" customHeight="1" spans="1:5">
      <c r="A5" s="5" t="s">
        <v>294</v>
      </c>
      <c r="B5" s="6">
        <f>AVERAGE(B12:B16)</f>
        <v>0.8477</v>
      </c>
      <c r="C5" s="6" t="s">
        <v>295</v>
      </c>
      <c r="D5" s="7" t="str">
        <f>IF(B5&gt;=0.8,"✓ STRONG","⚠ MARGINAL")</f>
        <v>✓ STRONG</v>
      </c>
      <c r="E5" s="5" t="s">
        <v>296</v>
      </c>
    </row>
    <row r="6" ht="15.75" customHeight="1" spans="1:5">
      <c r="A6" s="8" t="s">
        <v>297</v>
      </c>
      <c r="B6" s="9">
        <v>0.8685</v>
      </c>
      <c r="C6" s="9" t="s">
        <v>295</v>
      </c>
      <c r="D6" s="10" t="str">
        <f>IF(B6&gt;=0.8,"✓ STRONG","⚠ MARGINAL")</f>
        <v>✓ STRONG</v>
      </c>
      <c r="E6" s="8" t="s">
        <v>298</v>
      </c>
    </row>
    <row r="7" ht="15.75" customHeight="1" spans="1:5">
      <c r="A7" s="5" t="s">
        <v>299</v>
      </c>
      <c r="B7" s="6">
        <v>7.99</v>
      </c>
      <c r="C7" s="6" t="s">
        <v>300</v>
      </c>
      <c r="D7" s="7" t="str">
        <f>IF(B7&lt;10,"✓ GOOD","⚠ HIGH")</f>
        <v>✓ GOOD</v>
      </c>
      <c r="E7" s="5" t="s">
        <v>301</v>
      </c>
    </row>
    <row r="8" ht="15.75" customHeight="1" spans="1:5">
      <c r="A8" s="8" t="s">
        <v>302</v>
      </c>
      <c r="B8" s="9">
        <f>STDEV(B12:B16)</f>
        <v>0.112505377649248</v>
      </c>
      <c r="C8" s="9" t="s">
        <v>303</v>
      </c>
      <c r="D8" s="11" t="str">
        <f>IF(B8&lt;0.1,"✓ STABLE","⚠ MARGINAL")</f>
        <v>⚠ MARGINAL</v>
      </c>
      <c r="E8" s="8" t="s">
        <v>304</v>
      </c>
    </row>
    <row r="9" ht="15.75" customHeight="1" spans="1:5">
      <c r="A9" s="5" t="s">
        <v>305</v>
      </c>
      <c r="B9" s="6">
        <f>ROUND(B11*0.8,0)</f>
        <v>1858</v>
      </c>
      <c r="C9" s="6" t="s">
        <v>306</v>
      </c>
      <c r="D9" s="6" t="s">
        <v>306</v>
      </c>
      <c r="E9" s="5" t="s">
        <v>307</v>
      </c>
    </row>
    <row r="10" ht="15.75" customHeight="1" spans="1:5">
      <c r="A10" s="8" t="s">
        <v>308</v>
      </c>
      <c r="B10" s="9">
        <f>B11-B9</f>
        <v>464</v>
      </c>
      <c r="C10" s="9" t="s">
        <v>306</v>
      </c>
      <c r="D10" s="9" t="s">
        <v>306</v>
      </c>
      <c r="E10" s="8" t="s">
        <v>309</v>
      </c>
    </row>
    <row r="11" ht="15.75" customHeight="1" spans="1:5">
      <c r="A11" s="5" t="s">
        <v>310</v>
      </c>
      <c r="B11" s="6">
        <v>2322</v>
      </c>
      <c r="C11" s="6" t="s">
        <v>306</v>
      </c>
      <c r="D11" s="6" t="s">
        <v>306</v>
      </c>
      <c r="E11" s="5" t="s">
        <v>311</v>
      </c>
    </row>
    <row r="12" ht="15.75" customHeight="1" spans="1:5">
      <c r="A12" s="8" t="s">
        <v>312</v>
      </c>
      <c r="B12" s="9">
        <v>0.9039</v>
      </c>
      <c r="C12" s="9" t="s">
        <v>295</v>
      </c>
      <c r="D12" s="10" t="str">
        <f>IF(B12&gt;=0.8,"✓ STRONG","⚠ MODERATE")</f>
        <v>✓ STRONG</v>
      </c>
      <c r="E12" s="8" t="s">
        <v>313</v>
      </c>
    </row>
    <row r="13" ht="15.75" customHeight="1" spans="1:5">
      <c r="A13" s="5" t="s">
        <v>314</v>
      </c>
      <c r="B13" s="6">
        <v>0.6481</v>
      </c>
      <c r="C13" s="6" t="s">
        <v>295</v>
      </c>
      <c r="D13" s="12" t="str">
        <f>IF(B13&gt;=0.8,"✓ STRONG","⚠ MODERATE")</f>
        <v>⚠ MODERATE</v>
      </c>
      <c r="E13" s="5" t="s">
        <v>315</v>
      </c>
    </row>
    <row r="14" ht="15.75" customHeight="1" spans="1:5">
      <c r="A14" s="8" t="s">
        <v>316</v>
      </c>
      <c r="B14" s="9">
        <v>0.8961</v>
      </c>
      <c r="C14" s="9" t="s">
        <v>295</v>
      </c>
      <c r="D14" s="10" t="str">
        <f>IF(B14&gt;=0.8,"✓ STRONG","⚠ MODERATE")</f>
        <v>✓ STRONG</v>
      </c>
      <c r="E14" s="8" t="s">
        <v>313</v>
      </c>
    </row>
    <row r="15" ht="15.75" customHeight="1" spans="1:5">
      <c r="A15" s="5" t="s">
        <v>317</v>
      </c>
      <c r="B15" s="6">
        <v>0.8755</v>
      </c>
      <c r="C15" s="6" t="s">
        <v>295</v>
      </c>
      <c r="D15" s="7" t="str">
        <f>IF(B15&gt;=0.8,"✓ STRONG","⚠ MODERATE")</f>
        <v>✓ STRONG</v>
      </c>
      <c r="E15" s="5" t="s">
        <v>313</v>
      </c>
    </row>
    <row r="16" ht="15.75" customHeight="1" spans="1:5">
      <c r="A16" s="8" t="s">
        <v>318</v>
      </c>
      <c r="B16" s="9">
        <v>0.9149</v>
      </c>
      <c r="C16" s="9" t="s">
        <v>295</v>
      </c>
      <c r="D16" s="10" t="str">
        <f>IF(B16&gt;=0.8,"✓ STRONG","⚠ MODERATE")</f>
        <v>✓ STRONG</v>
      </c>
      <c r="E16" s="8" t="s">
        <v>313</v>
      </c>
    </row>
    <row r="19" ht="19.5" customHeight="1" spans="1:9">
      <c r="A19" s="13" t="s">
        <v>319</v>
      </c>
      <c r="B19" s="13"/>
      <c r="C19" s="13"/>
      <c r="D19" s="13"/>
      <c r="E19" s="13"/>
      <c r="F19" s="13"/>
      <c r="G19" s="13"/>
      <c r="H19" s="13"/>
      <c r="I19" s="13"/>
    </row>
    <row r="20" ht="18" customHeight="1" spans="1:9">
      <c r="A20" s="14" t="s">
        <v>320</v>
      </c>
      <c r="B20" s="14"/>
      <c r="C20" s="14"/>
      <c r="D20" s="14"/>
      <c r="E20" s="14"/>
      <c r="F20" s="14"/>
      <c r="G20" s="14"/>
      <c r="H20" s="14"/>
      <c r="I20" s="14"/>
    </row>
    <row r="21" ht="18" customHeight="1" spans="1:9">
      <c r="A21" s="15" t="s">
        <v>321</v>
      </c>
      <c r="B21" s="15"/>
      <c r="C21" s="15"/>
      <c r="D21" s="15"/>
      <c r="E21" s="15"/>
      <c r="F21" s="15"/>
      <c r="G21" s="15"/>
      <c r="H21" s="15"/>
      <c r="I21" s="15"/>
    </row>
    <row r="22" ht="18" customHeight="1" spans="1:9">
      <c r="A22" s="14" t="s">
        <v>322</v>
      </c>
      <c r="B22" s="14"/>
      <c r="C22" s="14"/>
      <c r="D22" s="14"/>
      <c r="E22" s="14"/>
      <c r="F22" s="14"/>
      <c r="G22" s="14"/>
      <c r="H22" s="14"/>
      <c r="I22" s="14"/>
    </row>
    <row r="23" ht="18" customHeight="1" spans="1:9">
      <c r="A23" s="15" t="s">
        <v>323</v>
      </c>
      <c r="B23" s="15"/>
      <c r="C23" s="15"/>
      <c r="D23" s="15"/>
      <c r="E23" s="15"/>
      <c r="F23" s="15"/>
      <c r="G23" s="15"/>
      <c r="H23" s="15"/>
      <c r="I23" s="15"/>
    </row>
    <row r="24" ht="18" customHeight="1" spans="1:9">
      <c r="A24" s="14" t="s">
        <v>324</v>
      </c>
      <c r="B24" s="14"/>
      <c r="C24" s="14"/>
      <c r="D24" s="14"/>
      <c r="E24" s="14"/>
      <c r="F24" s="14"/>
      <c r="G24" s="14"/>
      <c r="H24" s="14"/>
      <c r="I24" s="14"/>
    </row>
    <row r="25" ht="18" customHeight="1" spans="1:9">
      <c r="A25" s="15" t="s">
        <v>325</v>
      </c>
      <c r="B25" s="15"/>
      <c r="C25" s="15"/>
      <c r="D25" s="15"/>
      <c r="E25" s="15"/>
      <c r="F25" s="15"/>
      <c r="G25" s="15"/>
      <c r="H25" s="15"/>
      <c r="I25" s="15"/>
    </row>
    <row r="26" ht="18" customHeight="1" spans="1:9">
      <c r="A26" s="14" t="s">
        <v>326</v>
      </c>
      <c r="B26" s="14"/>
      <c r="C26" s="14"/>
      <c r="D26" s="14"/>
      <c r="E26" s="14"/>
      <c r="F26" s="14"/>
      <c r="G26" s="14"/>
      <c r="H26" s="14"/>
      <c r="I26" s="14"/>
    </row>
    <row r="27" ht="18" customHeight="1" spans="1:9">
      <c r="A27" s="15" t="s">
        <v>327</v>
      </c>
      <c r="B27" s="15"/>
      <c r="C27" s="15"/>
      <c r="D27" s="15"/>
      <c r="E27" s="15"/>
      <c r="F27" s="15"/>
      <c r="G27" s="15"/>
      <c r="H27" s="15"/>
      <c r="I27" s="15"/>
    </row>
    <row r="28" spans="1:2">
      <c r="A28" s="1" t="s">
        <v>328</v>
      </c>
      <c r="B28" s="1">
        <v>0.921</v>
      </c>
    </row>
    <row r="29" spans="1:2">
      <c r="A29" s="1" t="s">
        <v>329</v>
      </c>
      <c r="B29" s="1">
        <v>0.848</v>
      </c>
    </row>
    <row r="30" spans="1:2">
      <c r="A30" s="1" t="s">
        <v>330</v>
      </c>
      <c r="B30" s="1">
        <v>0.418</v>
      </c>
    </row>
    <row r="31" spans="1:2">
      <c r="A31" s="1" t="s">
        <v>331</v>
      </c>
      <c r="B31" s="1">
        <v>0.073</v>
      </c>
    </row>
  </sheetData>
  <mergeCells count="11">
    <mergeCell ref="A1:I1"/>
    <mergeCell ref="A3:I3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📊 Executive Dashboard</vt:lpstr>
      <vt:lpstr>📈 Charts &amp; Analysis</vt:lpstr>
      <vt:lpstr>🎯 Theme Analysis</vt:lpstr>
      <vt:lpstr>🧮 Price Calculator</vt:lpstr>
      <vt:lpstr>📋 Data &amp; Predictions</vt:lpstr>
      <vt:lpstr>📐 Model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Heba Nazir</cp:lastModifiedBy>
  <cp:revision>4</cp:revision>
  <dcterms:created xsi:type="dcterms:W3CDTF">2026-04-24T10:10:00Z</dcterms:created>
  <dcterms:modified xsi:type="dcterms:W3CDTF">2026-04-24T11:07:22Z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A04930CA131F4F108EABD7D8AE91F112_13</vt:lpwstr>
  </property>
  <property fmtid="{D5CDD505-2E9C-101B-9397-08002B2CF9AE}" pid="3" name="KSOProductBuildVer">
    <vt:lpwstr>2057-12.2.0.23196</vt:lpwstr>
  </property>
</Properties>
</file>